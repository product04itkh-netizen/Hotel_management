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nns\Desktop\Hotel_Management\"/>
    </mc:Choice>
  </mc:AlternateContent>
  <xr:revisionPtr revIDLastSave="0" documentId="8_{0C76F2CA-DD44-42A4-A74A-1C65C9A65BDC}" xr6:coauthVersionLast="47" xr6:coauthVersionMax="47" xr10:uidLastSave="{00000000-0000-0000-0000-000000000000}"/>
  <bookViews>
    <workbookView xWindow="-98" yWindow="-98" windowWidth="21795" windowHeight="12975" tabRatio="695" xr2:uid="{00000000-000D-0000-FFFF-FFFF00000000}"/>
  </bookViews>
  <sheets>
    <sheet name="Reservation Form" sheetId="2" r:id="rId1"/>
    <sheet name="Reservation" sheetId="3" r:id="rId2"/>
    <sheet name="Receipt" sheetId="7" r:id="rId3"/>
  </sheets>
  <externalReferences>
    <externalReference r:id="rId4"/>
  </externalReferences>
  <definedNames>
    <definedName name="_xlnm.Print_Area" localSheetId="2">Receipt!$C$1:$H$44</definedName>
    <definedName name="Type">'[1]Maintenance Work Order'!#REF!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23" i="7" l="1"/>
  <c r="H24" i="7"/>
  <c r="H25" i="7"/>
  <c r="H26" i="7"/>
  <c r="H27" i="7"/>
  <c r="H28" i="7"/>
  <c r="H22" i="7"/>
  <c r="J31" i="2" l="1"/>
  <c r="D19" i="7"/>
  <c r="BA9" i="3"/>
  <c r="BA10" i="3"/>
  <c r="BA6" i="3"/>
  <c r="BA7" i="3"/>
  <c r="AX7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" i="3"/>
  <c r="O32" i="2"/>
  <c r="O33" i="2"/>
  <c r="O34" i="2"/>
  <c r="O35" i="2"/>
  <c r="O31" i="2"/>
  <c r="N32" i="2"/>
  <c r="N33" i="2"/>
  <c r="N34" i="2"/>
  <c r="N35" i="2"/>
  <c r="N31" i="2"/>
  <c r="J32" i="2"/>
  <c r="J33" i="2"/>
  <c r="J34" i="2"/>
  <c r="J35" i="2"/>
  <c r="J36" i="2"/>
  <c r="I32" i="2"/>
  <c r="I33" i="2"/>
  <c r="I34" i="2"/>
  <c r="I35" i="2"/>
  <c r="I36" i="2"/>
  <c r="I31" i="2"/>
  <c r="BA13" i="3"/>
  <c r="BA14" i="3"/>
  <c r="BA15" i="3"/>
  <c r="BA16" i="3"/>
  <c r="BA17" i="3"/>
  <c r="BA18" i="3"/>
  <c r="BA19" i="3"/>
  <c r="BA20" i="3"/>
  <c r="BA21" i="3"/>
  <c r="BA22" i="3"/>
  <c r="BA23" i="3"/>
  <c r="BA24" i="3"/>
  <c r="BA25" i="3"/>
  <c r="BA26" i="3"/>
  <c r="BA27" i="3"/>
  <c r="BA28" i="3"/>
  <c r="BA29" i="3"/>
  <c r="BA30" i="3"/>
  <c r="BA31" i="3"/>
  <c r="BA32" i="3"/>
  <c r="BA33" i="3"/>
  <c r="BA34" i="3"/>
  <c r="BA35" i="3"/>
  <c r="BA36" i="3"/>
  <c r="BA37" i="3"/>
  <c r="BA38" i="3"/>
  <c r="BA39" i="3"/>
  <c r="BA40" i="3"/>
  <c r="BA41" i="3"/>
  <c r="BA42" i="3"/>
  <c r="BA43" i="3"/>
  <c r="BA44" i="3"/>
  <c r="BA45" i="3"/>
  <c r="BA46" i="3"/>
  <c r="BA47" i="3"/>
  <c r="BA48" i="3"/>
  <c r="BA49" i="3"/>
  <c r="BA50" i="3"/>
  <c r="BA51" i="3"/>
  <c r="BA52" i="3"/>
  <c r="BA53" i="3"/>
  <c r="BA54" i="3"/>
  <c r="BA55" i="3"/>
  <c r="BA56" i="3"/>
  <c r="BA57" i="3"/>
  <c r="BA58" i="3"/>
  <c r="BA59" i="3"/>
  <c r="BA60" i="3"/>
  <c r="BA61" i="3"/>
  <c r="BA62" i="3"/>
  <c r="BA63" i="3"/>
  <c r="BA64" i="3"/>
  <c r="BA65" i="3"/>
  <c r="BA66" i="3"/>
  <c r="BA67" i="3"/>
  <c r="BA68" i="3"/>
  <c r="BA69" i="3"/>
  <c r="BA70" i="3"/>
  <c r="BA71" i="3"/>
  <c r="BA72" i="3"/>
  <c r="BA73" i="3"/>
  <c r="BA74" i="3"/>
  <c r="BA75" i="3"/>
  <c r="BA76" i="3"/>
  <c r="BA77" i="3"/>
  <c r="BA78" i="3"/>
  <c r="BA79" i="3"/>
  <c r="BA80" i="3"/>
  <c r="BA81" i="3"/>
  <c r="BA82" i="3"/>
  <c r="BA83" i="3"/>
  <c r="BA84" i="3"/>
  <c r="BA85" i="3"/>
  <c r="BA86" i="3"/>
  <c r="BA87" i="3"/>
  <c r="BA88" i="3"/>
  <c r="BA89" i="3"/>
  <c r="BA90" i="3"/>
  <c r="BA91" i="3"/>
  <c r="BA92" i="3"/>
  <c r="BA93" i="3"/>
  <c r="BA94" i="3"/>
  <c r="BA95" i="3"/>
  <c r="BA96" i="3"/>
  <c r="BA97" i="3"/>
  <c r="BA98" i="3"/>
  <c r="BA99" i="3"/>
  <c r="BA100" i="3"/>
  <c r="BA101" i="3"/>
  <c r="BA102" i="3"/>
  <c r="BA103" i="3"/>
  <c r="BA104" i="3"/>
  <c r="BA105" i="3"/>
  <c r="BA106" i="3"/>
  <c r="BA107" i="3"/>
  <c r="BA108" i="3"/>
  <c r="BA109" i="3"/>
  <c r="BA110" i="3"/>
  <c r="BA111" i="3"/>
  <c r="BA112" i="3"/>
  <c r="BA113" i="3"/>
  <c r="BA114" i="3"/>
  <c r="BA115" i="3"/>
  <c r="BA116" i="3"/>
  <c r="BA117" i="3"/>
  <c r="BA118" i="3"/>
  <c r="BA119" i="3"/>
  <c r="BA120" i="3"/>
  <c r="BA121" i="3"/>
  <c r="BA122" i="3"/>
  <c r="BA123" i="3"/>
  <c r="BA124" i="3"/>
  <c r="BA125" i="3"/>
  <c r="BA126" i="3"/>
  <c r="BA127" i="3"/>
  <c r="BA128" i="3"/>
  <c r="BA129" i="3"/>
  <c r="BA130" i="3"/>
  <c r="BA131" i="3"/>
  <c r="BA132" i="3"/>
  <c r="BA133" i="3"/>
  <c r="BA134" i="3"/>
  <c r="BA135" i="3"/>
  <c r="BA136" i="3"/>
  <c r="BA137" i="3"/>
  <c r="BA138" i="3"/>
  <c r="BA139" i="3"/>
  <c r="BA140" i="3"/>
  <c r="BA141" i="3"/>
  <c r="BA142" i="3"/>
  <c r="BA143" i="3"/>
  <c r="BA144" i="3"/>
  <c r="BA145" i="3"/>
  <c r="BA146" i="3"/>
  <c r="BA147" i="3"/>
  <c r="BA148" i="3"/>
  <c r="BA149" i="3"/>
  <c r="BA150" i="3"/>
  <c r="BA151" i="3"/>
  <c r="BA152" i="3"/>
  <c r="BA153" i="3"/>
  <c r="BA154" i="3"/>
  <c r="BA155" i="3"/>
  <c r="BA156" i="3"/>
  <c r="BA157" i="3"/>
  <c r="BA158" i="3"/>
  <c r="BA159" i="3"/>
  <c r="BA160" i="3"/>
  <c r="BA161" i="3"/>
  <c r="BA162" i="3"/>
  <c r="BA163" i="3"/>
  <c r="BA164" i="3"/>
  <c r="BA165" i="3"/>
  <c r="BA166" i="3"/>
  <c r="BA167" i="3"/>
  <c r="BA168" i="3"/>
  <c r="BA169" i="3"/>
  <c r="BA170" i="3"/>
  <c r="BA171" i="3"/>
  <c r="BA172" i="3"/>
  <c r="BA173" i="3"/>
  <c r="BA174" i="3"/>
  <c r="BA175" i="3"/>
  <c r="BA176" i="3"/>
  <c r="BA177" i="3"/>
  <c r="BA178" i="3"/>
  <c r="BA179" i="3"/>
  <c r="BA180" i="3"/>
  <c r="BA181" i="3"/>
  <c r="BA182" i="3"/>
  <c r="BA183" i="3"/>
  <c r="BA184" i="3"/>
  <c r="BA185" i="3"/>
  <c r="BA186" i="3"/>
  <c r="BA187" i="3"/>
  <c r="BA188" i="3"/>
  <c r="BA189" i="3"/>
  <c r="BA190" i="3"/>
  <c r="BA191" i="3"/>
  <c r="BA192" i="3"/>
  <c r="BA193" i="3"/>
  <c r="BA194" i="3"/>
  <c r="BA195" i="3"/>
  <c r="BA196" i="3"/>
  <c r="BA197" i="3"/>
  <c r="BA198" i="3"/>
  <c r="BA199" i="3"/>
  <c r="BA200" i="3"/>
  <c r="BA201" i="3"/>
  <c r="BA202" i="3"/>
  <c r="BA203" i="3"/>
  <c r="BA204" i="3"/>
  <c r="BA205" i="3"/>
  <c r="BA206" i="3"/>
  <c r="BA207" i="3"/>
  <c r="BA208" i="3"/>
  <c r="BA209" i="3"/>
  <c r="BA210" i="3"/>
  <c r="BA211" i="3"/>
  <c r="BA212" i="3"/>
  <c r="BA213" i="3"/>
  <c r="BA214" i="3"/>
  <c r="BA215" i="3"/>
  <c r="BA216" i="3"/>
  <c r="BA217" i="3"/>
  <c r="BA218" i="3"/>
  <c r="BA219" i="3"/>
  <c r="BA220" i="3"/>
  <c r="BA221" i="3"/>
  <c r="BA222" i="3"/>
  <c r="BA223" i="3"/>
  <c r="BA224" i="3"/>
  <c r="BA225" i="3"/>
  <c r="BA226" i="3"/>
  <c r="BA227" i="3"/>
  <c r="BA228" i="3"/>
  <c r="BA229" i="3"/>
  <c r="BA230" i="3"/>
  <c r="BA231" i="3"/>
  <c r="BA232" i="3"/>
  <c r="BA233" i="3"/>
  <c r="BA234" i="3"/>
  <c r="BA235" i="3"/>
  <c r="BA236" i="3"/>
  <c r="BA237" i="3"/>
  <c r="BA238" i="3"/>
  <c r="BA239" i="3"/>
  <c r="BA240" i="3"/>
  <c r="BA241" i="3"/>
  <c r="BA242" i="3"/>
  <c r="BA243" i="3"/>
  <c r="BA244" i="3"/>
  <c r="BA245" i="3"/>
  <c r="BA246" i="3"/>
  <c r="BA247" i="3"/>
  <c r="BA248" i="3"/>
  <c r="BA249" i="3"/>
  <c r="BA250" i="3"/>
  <c r="BA251" i="3"/>
  <c r="BA252" i="3"/>
  <c r="BA253" i="3"/>
  <c r="BA254" i="3"/>
  <c r="BA255" i="3"/>
  <c r="BA256" i="3"/>
  <c r="BA257" i="3"/>
  <c r="BA258" i="3"/>
  <c r="BA259" i="3"/>
  <c r="BA260" i="3"/>
  <c r="BA261" i="3"/>
  <c r="BA262" i="3"/>
  <c r="BA263" i="3"/>
  <c r="BA264" i="3"/>
  <c r="BA265" i="3"/>
  <c r="BA266" i="3"/>
  <c r="BA267" i="3"/>
  <c r="BA268" i="3"/>
  <c r="BA269" i="3"/>
  <c r="BA270" i="3"/>
  <c r="BA271" i="3"/>
  <c r="BA272" i="3"/>
  <c r="BA273" i="3"/>
  <c r="BA274" i="3"/>
  <c r="BA275" i="3"/>
  <c r="BA276" i="3"/>
  <c r="BA277" i="3"/>
  <c r="BA278" i="3"/>
  <c r="BA279" i="3"/>
  <c r="BA280" i="3"/>
  <c r="BA281" i="3"/>
  <c r="BA282" i="3"/>
  <c r="BA283" i="3"/>
  <c r="BA284" i="3"/>
  <c r="BA285" i="3"/>
  <c r="BA286" i="3"/>
  <c r="BA287" i="3"/>
  <c r="BA288" i="3"/>
  <c r="BA289" i="3"/>
  <c r="BA290" i="3"/>
  <c r="BA291" i="3"/>
  <c r="BA292" i="3"/>
  <c r="BA293" i="3"/>
  <c r="BA294" i="3"/>
  <c r="BA295" i="3"/>
  <c r="BA296" i="3"/>
  <c r="BA297" i="3"/>
  <c r="BA298" i="3"/>
  <c r="BA299" i="3"/>
  <c r="BA300" i="3"/>
  <c r="BA301" i="3"/>
  <c r="BA302" i="3"/>
  <c r="BA303" i="3"/>
  <c r="BA304" i="3"/>
  <c r="BA305" i="3"/>
  <c r="BA306" i="3"/>
  <c r="BA307" i="3"/>
  <c r="BA308" i="3"/>
  <c r="BA309" i="3"/>
  <c r="BA310" i="3"/>
  <c r="BA311" i="3"/>
  <c r="BA312" i="3"/>
  <c r="BA313" i="3"/>
  <c r="BA314" i="3"/>
  <c r="BA315" i="3"/>
  <c r="BA316" i="3"/>
  <c r="BA317" i="3"/>
  <c r="BA318" i="3"/>
  <c r="BA319" i="3"/>
  <c r="BA320" i="3"/>
  <c r="BA321" i="3"/>
  <c r="BA322" i="3"/>
  <c r="BA323" i="3"/>
  <c r="BA324" i="3"/>
  <c r="BA325" i="3"/>
  <c r="BA326" i="3"/>
  <c r="BA327" i="3"/>
  <c r="BA328" i="3"/>
  <c r="BA329" i="3"/>
  <c r="BA330" i="3"/>
  <c r="BA331" i="3"/>
  <c r="BA332" i="3"/>
  <c r="BA333" i="3"/>
  <c r="BA334" i="3"/>
  <c r="BA335" i="3"/>
  <c r="BA336" i="3"/>
  <c r="BA337" i="3"/>
  <c r="BA338" i="3"/>
  <c r="BA339" i="3"/>
  <c r="BA340" i="3"/>
  <c r="BA341" i="3"/>
  <c r="BA342" i="3"/>
  <c r="BA343" i="3"/>
  <c r="BA344" i="3"/>
  <c r="BA345" i="3"/>
  <c r="BA346" i="3"/>
  <c r="BA347" i="3"/>
  <c r="BA348" i="3"/>
  <c r="BA349" i="3"/>
  <c r="BA350" i="3"/>
  <c r="BA351" i="3"/>
  <c r="BA352" i="3"/>
  <c r="BA353" i="3"/>
  <c r="BA354" i="3"/>
  <c r="BA355" i="3"/>
  <c r="BA356" i="3"/>
  <c r="BA357" i="3"/>
  <c r="BA358" i="3"/>
  <c r="BA359" i="3"/>
  <c r="BA360" i="3"/>
  <c r="BA361" i="3"/>
  <c r="BA362" i="3"/>
  <c r="BA363" i="3"/>
  <c r="BA364" i="3"/>
  <c r="BA365" i="3"/>
  <c r="BA366" i="3"/>
  <c r="BA367" i="3"/>
  <c r="BA368" i="3"/>
  <c r="BA369" i="3"/>
  <c r="BA370" i="3"/>
  <c r="BA371" i="3"/>
  <c r="BA372" i="3"/>
  <c r="BA373" i="3"/>
  <c r="BA374" i="3"/>
  <c r="BA375" i="3"/>
  <c r="BA376" i="3"/>
  <c r="BA377" i="3"/>
  <c r="BA378" i="3"/>
  <c r="BA379" i="3"/>
  <c r="BA380" i="3"/>
  <c r="BA381" i="3"/>
  <c r="BA382" i="3"/>
  <c r="BA383" i="3"/>
  <c r="BA384" i="3"/>
  <c r="BA385" i="3"/>
  <c r="BA386" i="3"/>
  <c r="BA387" i="3"/>
  <c r="BA388" i="3"/>
  <c r="BA389" i="3"/>
  <c r="BA390" i="3"/>
  <c r="BA391" i="3"/>
  <c r="BA392" i="3"/>
  <c r="BA393" i="3"/>
  <c r="BA394" i="3"/>
  <c r="BA395" i="3"/>
  <c r="BA396" i="3"/>
  <c r="BA397" i="3"/>
  <c r="BA398" i="3"/>
  <c r="BA399" i="3"/>
  <c r="BA400" i="3"/>
  <c r="BA401" i="3"/>
  <c r="BA402" i="3"/>
  <c r="BA403" i="3"/>
  <c r="BA404" i="3"/>
  <c r="BA405" i="3"/>
  <c r="BA406" i="3"/>
  <c r="BA407" i="3"/>
  <c r="BA408" i="3"/>
  <c r="BA409" i="3"/>
  <c r="BA410" i="3"/>
  <c r="BA411" i="3"/>
  <c r="BA412" i="3"/>
  <c r="BA413" i="3"/>
  <c r="BA414" i="3"/>
  <c r="BA415" i="3"/>
  <c r="BA416" i="3"/>
  <c r="BA417" i="3"/>
  <c r="BA418" i="3"/>
  <c r="BA419" i="3"/>
  <c r="BA420" i="3"/>
  <c r="BA421" i="3"/>
  <c r="BA422" i="3"/>
  <c r="BA423" i="3"/>
  <c r="BA424" i="3"/>
  <c r="BA425" i="3"/>
  <c r="BA426" i="3"/>
  <c r="BA427" i="3"/>
  <c r="BA428" i="3"/>
  <c r="BA429" i="3"/>
  <c r="BA430" i="3"/>
  <c r="BA431" i="3"/>
  <c r="BA432" i="3"/>
  <c r="BA433" i="3"/>
  <c r="BA434" i="3"/>
  <c r="BA435" i="3"/>
  <c r="BA436" i="3"/>
  <c r="BA437" i="3"/>
  <c r="BA438" i="3"/>
  <c r="BA439" i="3"/>
  <c r="BA440" i="3"/>
  <c r="BA441" i="3"/>
  <c r="BA442" i="3"/>
  <c r="BA443" i="3"/>
  <c r="BA444" i="3"/>
  <c r="BA445" i="3"/>
  <c r="BA446" i="3"/>
  <c r="BA447" i="3"/>
  <c r="BA448" i="3"/>
  <c r="BA449" i="3"/>
  <c r="BA450" i="3"/>
  <c r="BA451" i="3"/>
  <c r="BA452" i="3"/>
  <c r="BA453" i="3"/>
  <c r="BA454" i="3"/>
  <c r="BA455" i="3"/>
  <c r="BA456" i="3"/>
  <c r="BA457" i="3"/>
  <c r="BA458" i="3"/>
  <c r="BA459" i="3"/>
  <c r="BA460" i="3"/>
  <c r="BA461" i="3"/>
  <c r="BA462" i="3"/>
  <c r="BA463" i="3"/>
  <c r="BA464" i="3"/>
  <c r="BA465" i="3"/>
  <c r="BA466" i="3"/>
  <c r="BA467" i="3"/>
  <c r="BA468" i="3"/>
  <c r="BA469" i="3"/>
  <c r="BA470" i="3"/>
  <c r="BA471" i="3"/>
  <c r="BA472" i="3"/>
  <c r="BA473" i="3"/>
  <c r="BA474" i="3"/>
  <c r="BA475" i="3"/>
  <c r="BA476" i="3"/>
  <c r="BA477" i="3"/>
  <c r="BA478" i="3"/>
  <c r="BA479" i="3"/>
  <c r="BA480" i="3"/>
  <c r="BA481" i="3"/>
  <c r="BA482" i="3"/>
  <c r="BA483" i="3"/>
  <c r="BA484" i="3"/>
  <c r="BA485" i="3"/>
  <c r="BA486" i="3"/>
  <c r="BA487" i="3"/>
  <c r="BA488" i="3"/>
  <c r="BA489" i="3"/>
  <c r="BA490" i="3"/>
  <c r="BA491" i="3"/>
  <c r="BA492" i="3"/>
  <c r="BA493" i="3"/>
  <c r="BA494" i="3"/>
  <c r="BA495" i="3"/>
  <c r="BA496" i="3"/>
  <c r="BA497" i="3"/>
  <c r="BA498" i="3"/>
  <c r="BA499" i="3"/>
  <c r="BA500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AX101" i="3"/>
  <c r="AX102" i="3"/>
  <c r="AX103" i="3"/>
  <c r="AX104" i="3"/>
  <c r="AX105" i="3"/>
  <c r="AX106" i="3"/>
  <c r="AX107" i="3"/>
  <c r="AX108" i="3"/>
  <c r="AX109" i="3"/>
  <c r="AX110" i="3"/>
  <c r="AX111" i="3"/>
  <c r="AX112" i="3"/>
  <c r="AX113" i="3"/>
  <c r="AX114" i="3"/>
  <c r="AX115" i="3"/>
  <c r="AX116" i="3"/>
  <c r="AX117" i="3"/>
  <c r="AX118" i="3"/>
  <c r="AX119" i="3"/>
  <c r="AX120" i="3"/>
  <c r="AX121" i="3"/>
  <c r="AX122" i="3"/>
  <c r="AX123" i="3"/>
  <c r="AX124" i="3"/>
  <c r="AX125" i="3"/>
  <c r="AX126" i="3"/>
  <c r="AX127" i="3"/>
  <c r="AX128" i="3"/>
  <c r="AX129" i="3"/>
  <c r="AX130" i="3"/>
  <c r="AX131" i="3"/>
  <c r="AX132" i="3"/>
  <c r="AX133" i="3"/>
  <c r="AX134" i="3"/>
  <c r="AX135" i="3"/>
  <c r="AX136" i="3"/>
  <c r="AX137" i="3"/>
  <c r="AX138" i="3"/>
  <c r="AX139" i="3"/>
  <c r="AX140" i="3"/>
  <c r="AX141" i="3"/>
  <c r="AX142" i="3"/>
  <c r="AX143" i="3"/>
  <c r="AX144" i="3"/>
  <c r="AX145" i="3"/>
  <c r="AX146" i="3"/>
  <c r="AX147" i="3"/>
  <c r="AX148" i="3"/>
  <c r="AX149" i="3"/>
  <c r="AX150" i="3"/>
  <c r="AX151" i="3"/>
  <c r="AX152" i="3"/>
  <c r="AX153" i="3"/>
  <c r="AX154" i="3"/>
  <c r="AX155" i="3"/>
  <c r="AX156" i="3"/>
  <c r="AX157" i="3"/>
  <c r="AX158" i="3"/>
  <c r="AX159" i="3"/>
  <c r="AX160" i="3"/>
  <c r="AX161" i="3"/>
  <c r="AX162" i="3"/>
  <c r="AX163" i="3"/>
  <c r="AX164" i="3"/>
  <c r="AX165" i="3"/>
  <c r="AX166" i="3"/>
  <c r="AX167" i="3"/>
  <c r="AX168" i="3"/>
  <c r="AX169" i="3"/>
  <c r="AX170" i="3"/>
  <c r="AX171" i="3"/>
  <c r="AX172" i="3"/>
  <c r="AX173" i="3"/>
  <c r="AX174" i="3"/>
  <c r="AX175" i="3"/>
  <c r="AX176" i="3"/>
  <c r="AX177" i="3"/>
  <c r="AX178" i="3"/>
  <c r="AX179" i="3"/>
  <c r="AX180" i="3"/>
  <c r="AX181" i="3"/>
  <c r="AX182" i="3"/>
  <c r="AX183" i="3"/>
  <c r="AX184" i="3"/>
  <c r="AX185" i="3"/>
  <c r="AX186" i="3"/>
  <c r="AX187" i="3"/>
  <c r="AX188" i="3"/>
  <c r="AX189" i="3"/>
  <c r="AX190" i="3"/>
  <c r="AX191" i="3"/>
  <c r="AX192" i="3"/>
  <c r="AX193" i="3"/>
  <c r="AX194" i="3"/>
  <c r="AX195" i="3"/>
  <c r="AX196" i="3"/>
  <c r="AX197" i="3"/>
  <c r="AX198" i="3"/>
  <c r="AX199" i="3"/>
  <c r="AX200" i="3"/>
  <c r="AX201" i="3"/>
  <c r="AX202" i="3"/>
  <c r="AX203" i="3"/>
  <c r="AX204" i="3"/>
  <c r="AX205" i="3"/>
  <c r="AX206" i="3"/>
  <c r="AX207" i="3"/>
  <c r="AX208" i="3"/>
  <c r="AX209" i="3"/>
  <c r="AX210" i="3"/>
  <c r="AX211" i="3"/>
  <c r="AX212" i="3"/>
  <c r="AX213" i="3"/>
  <c r="AX214" i="3"/>
  <c r="AX215" i="3"/>
  <c r="AX216" i="3"/>
  <c r="AX217" i="3"/>
  <c r="AX218" i="3"/>
  <c r="AX219" i="3"/>
  <c r="AX220" i="3"/>
  <c r="AX221" i="3"/>
  <c r="AX222" i="3"/>
  <c r="AX223" i="3"/>
  <c r="AX224" i="3"/>
  <c r="AX225" i="3"/>
  <c r="AX226" i="3"/>
  <c r="AX227" i="3"/>
  <c r="AX228" i="3"/>
  <c r="AX229" i="3"/>
  <c r="AX230" i="3"/>
  <c r="AX231" i="3"/>
  <c r="AX232" i="3"/>
  <c r="AX233" i="3"/>
  <c r="AX234" i="3"/>
  <c r="AX235" i="3"/>
  <c r="AX236" i="3"/>
  <c r="AX237" i="3"/>
  <c r="AX238" i="3"/>
  <c r="AX239" i="3"/>
  <c r="AX240" i="3"/>
  <c r="AX241" i="3"/>
  <c r="AX242" i="3"/>
  <c r="AX243" i="3"/>
  <c r="AX244" i="3"/>
  <c r="AX245" i="3"/>
  <c r="AX246" i="3"/>
  <c r="AX247" i="3"/>
  <c r="AX248" i="3"/>
  <c r="AX249" i="3"/>
  <c r="AX250" i="3"/>
  <c r="AX251" i="3"/>
  <c r="AX252" i="3"/>
  <c r="AX253" i="3"/>
  <c r="AX254" i="3"/>
  <c r="AX255" i="3"/>
  <c r="AX256" i="3"/>
  <c r="AX257" i="3"/>
  <c r="AX258" i="3"/>
  <c r="AX259" i="3"/>
  <c r="AX260" i="3"/>
  <c r="AX261" i="3"/>
  <c r="AX262" i="3"/>
  <c r="AX263" i="3"/>
  <c r="AX264" i="3"/>
  <c r="AX265" i="3"/>
  <c r="AX266" i="3"/>
  <c r="AX267" i="3"/>
  <c r="AX268" i="3"/>
  <c r="AX269" i="3"/>
  <c r="AX270" i="3"/>
  <c r="AX271" i="3"/>
  <c r="AX272" i="3"/>
  <c r="AX273" i="3"/>
  <c r="AX274" i="3"/>
  <c r="AX275" i="3"/>
  <c r="AX276" i="3"/>
  <c r="AX277" i="3"/>
  <c r="AX278" i="3"/>
  <c r="AX279" i="3"/>
  <c r="AX280" i="3"/>
  <c r="AX281" i="3"/>
  <c r="AX282" i="3"/>
  <c r="AX283" i="3"/>
  <c r="AX284" i="3"/>
  <c r="AX285" i="3"/>
  <c r="AX286" i="3"/>
  <c r="AX287" i="3"/>
  <c r="AX288" i="3"/>
  <c r="AX289" i="3"/>
  <c r="AX290" i="3"/>
  <c r="AX291" i="3"/>
  <c r="AX292" i="3"/>
  <c r="AX293" i="3"/>
  <c r="AX294" i="3"/>
  <c r="AX295" i="3"/>
  <c r="AX296" i="3"/>
  <c r="AX297" i="3"/>
  <c r="AX298" i="3"/>
  <c r="AX299" i="3"/>
  <c r="AX300" i="3"/>
  <c r="AX301" i="3"/>
  <c r="AX302" i="3"/>
  <c r="AX303" i="3"/>
  <c r="AX304" i="3"/>
  <c r="AX305" i="3"/>
  <c r="AX306" i="3"/>
  <c r="AX307" i="3"/>
  <c r="AX308" i="3"/>
  <c r="AX309" i="3"/>
  <c r="AX310" i="3"/>
  <c r="AX311" i="3"/>
  <c r="AX312" i="3"/>
  <c r="AX313" i="3"/>
  <c r="AX314" i="3"/>
  <c r="AX315" i="3"/>
  <c r="AX316" i="3"/>
  <c r="AX317" i="3"/>
  <c r="AX318" i="3"/>
  <c r="AX319" i="3"/>
  <c r="AX320" i="3"/>
  <c r="AX321" i="3"/>
  <c r="AX322" i="3"/>
  <c r="AX323" i="3"/>
  <c r="AX324" i="3"/>
  <c r="AX325" i="3"/>
  <c r="AX326" i="3"/>
  <c r="AX327" i="3"/>
  <c r="AX328" i="3"/>
  <c r="AX329" i="3"/>
  <c r="AX330" i="3"/>
  <c r="AX331" i="3"/>
  <c r="AX332" i="3"/>
  <c r="AX333" i="3"/>
  <c r="AX334" i="3"/>
  <c r="AX335" i="3"/>
  <c r="AX336" i="3"/>
  <c r="AX337" i="3"/>
  <c r="AX338" i="3"/>
  <c r="AX339" i="3"/>
  <c r="AX340" i="3"/>
  <c r="AX341" i="3"/>
  <c r="AX342" i="3"/>
  <c r="AX343" i="3"/>
  <c r="AX344" i="3"/>
  <c r="AX345" i="3"/>
  <c r="AX346" i="3"/>
  <c r="AX347" i="3"/>
  <c r="AX348" i="3"/>
  <c r="AX349" i="3"/>
  <c r="AX350" i="3"/>
  <c r="AX351" i="3"/>
  <c r="AX352" i="3"/>
  <c r="AX353" i="3"/>
  <c r="AX354" i="3"/>
  <c r="AX355" i="3"/>
  <c r="AX356" i="3"/>
  <c r="AX357" i="3"/>
  <c r="AX358" i="3"/>
  <c r="AX359" i="3"/>
  <c r="AX360" i="3"/>
  <c r="AX361" i="3"/>
  <c r="AX362" i="3"/>
  <c r="AX363" i="3"/>
  <c r="AX364" i="3"/>
  <c r="AX365" i="3"/>
  <c r="AX366" i="3"/>
  <c r="AX367" i="3"/>
  <c r="AX368" i="3"/>
  <c r="AX369" i="3"/>
  <c r="AX370" i="3"/>
  <c r="AX371" i="3"/>
  <c r="AX372" i="3"/>
  <c r="AX373" i="3"/>
  <c r="AX374" i="3"/>
  <c r="AX375" i="3"/>
  <c r="AX376" i="3"/>
  <c r="AX377" i="3"/>
  <c r="AX378" i="3"/>
  <c r="AX379" i="3"/>
  <c r="AX380" i="3"/>
  <c r="AX381" i="3"/>
  <c r="AX382" i="3"/>
  <c r="AX383" i="3"/>
  <c r="AX384" i="3"/>
  <c r="AX385" i="3"/>
  <c r="AX386" i="3"/>
  <c r="AX387" i="3"/>
  <c r="AX388" i="3"/>
  <c r="AX389" i="3"/>
  <c r="AX390" i="3"/>
  <c r="AX391" i="3"/>
  <c r="AX392" i="3"/>
  <c r="AX393" i="3"/>
  <c r="AX394" i="3"/>
  <c r="AX395" i="3"/>
  <c r="AX396" i="3"/>
  <c r="AX397" i="3"/>
  <c r="AX398" i="3"/>
  <c r="AX399" i="3"/>
  <c r="AX400" i="3"/>
  <c r="AX401" i="3"/>
  <c r="AX402" i="3"/>
  <c r="AX403" i="3"/>
  <c r="AX404" i="3"/>
  <c r="AX405" i="3"/>
  <c r="AX406" i="3"/>
  <c r="AX407" i="3"/>
  <c r="AX408" i="3"/>
  <c r="AX409" i="3"/>
  <c r="AX410" i="3"/>
  <c r="AX411" i="3"/>
  <c r="AX412" i="3"/>
  <c r="AX413" i="3"/>
  <c r="AX414" i="3"/>
  <c r="AX415" i="3"/>
  <c r="AX416" i="3"/>
  <c r="AX417" i="3"/>
  <c r="AX418" i="3"/>
  <c r="AX419" i="3"/>
  <c r="AX420" i="3"/>
  <c r="AX421" i="3"/>
  <c r="AX422" i="3"/>
  <c r="AX423" i="3"/>
  <c r="AX424" i="3"/>
  <c r="AX425" i="3"/>
  <c r="AX426" i="3"/>
  <c r="AX427" i="3"/>
  <c r="AX428" i="3"/>
  <c r="AX429" i="3"/>
  <c r="AX430" i="3"/>
  <c r="AX431" i="3"/>
  <c r="AX432" i="3"/>
  <c r="AX433" i="3"/>
  <c r="AX434" i="3"/>
  <c r="AX435" i="3"/>
  <c r="AX436" i="3"/>
  <c r="AX437" i="3"/>
  <c r="AX438" i="3"/>
  <c r="AX439" i="3"/>
  <c r="AX440" i="3"/>
  <c r="AX441" i="3"/>
  <c r="AX442" i="3"/>
  <c r="AX443" i="3"/>
  <c r="AX444" i="3"/>
  <c r="AX445" i="3"/>
  <c r="AX446" i="3"/>
  <c r="AX447" i="3"/>
  <c r="AX448" i="3"/>
  <c r="AX449" i="3"/>
  <c r="AX450" i="3"/>
  <c r="AX451" i="3"/>
  <c r="AX452" i="3"/>
  <c r="AX453" i="3"/>
  <c r="AX454" i="3"/>
  <c r="AX455" i="3"/>
  <c r="AX456" i="3"/>
  <c r="AX457" i="3"/>
  <c r="AX458" i="3"/>
  <c r="AX459" i="3"/>
  <c r="AX460" i="3"/>
  <c r="AX461" i="3"/>
  <c r="AX462" i="3"/>
  <c r="AX463" i="3"/>
  <c r="AX464" i="3"/>
  <c r="AX465" i="3"/>
  <c r="AX466" i="3"/>
  <c r="AX467" i="3"/>
  <c r="AX468" i="3"/>
  <c r="AX469" i="3"/>
  <c r="AX470" i="3"/>
  <c r="AX471" i="3"/>
  <c r="AX472" i="3"/>
  <c r="AX473" i="3"/>
  <c r="AX474" i="3"/>
  <c r="AX475" i="3"/>
  <c r="AX476" i="3"/>
  <c r="AX477" i="3"/>
  <c r="AX478" i="3"/>
  <c r="AX479" i="3"/>
  <c r="AX480" i="3"/>
  <c r="AX481" i="3"/>
  <c r="AX482" i="3"/>
  <c r="AX483" i="3"/>
  <c r="AX484" i="3"/>
  <c r="AX485" i="3"/>
  <c r="AX486" i="3"/>
  <c r="AX487" i="3"/>
  <c r="AX488" i="3"/>
  <c r="AX489" i="3"/>
  <c r="AX490" i="3"/>
  <c r="AX491" i="3"/>
  <c r="AX492" i="3"/>
  <c r="AX493" i="3"/>
  <c r="AX494" i="3"/>
  <c r="AX495" i="3"/>
  <c r="AX496" i="3"/>
  <c r="AX497" i="3"/>
  <c r="AX498" i="3"/>
  <c r="AX499" i="3"/>
  <c r="AX500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AU101" i="3"/>
  <c r="AU102" i="3"/>
  <c r="AU103" i="3"/>
  <c r="AU104" i="3"/>
  <c r="AU105" i="3"/>
  <c r="AU106" i="3"/>
  <c r="AU107" i="3"/>
  <c r="AU108" i="3"/>
  <c r="AU109" i="3"/>
  <c r="AU110" i="3"/>
  <c r="AU111" i="3"/>
  <c r="AU112" i="3"/>
  <c r="AU113" i="3"/>
  <c r="AU114" i="3"/>
  <c r="AU115" i="3"/>
  <c r="AU116" i="3"/>
  <c r="AU117" i="3"/>
  <c r="AU118" i="3"/>
  <c r="AU119" i="3"/>
  <c r="AU120" i="3"/>
  <c r="AU121" i="3"/>
  <c r="AU122" i="3"/>
  <c r="AU123" i="3"/>
  <c r="AU124" i="3"/>
  <c r="AU125" i="3"/>
  <c r="AU126" i="3"/>
  <c r="AU127" i="3"/>
  <c r="AU128" i="3"/>
  <c r="AU129" i="3"/>
  <c r="AU130" i="3"/>
  <c r="AU131" i="3"/>
  <c r="AU132" i="3"/>
  <c r="AU133" i="3"/>
  <c r="AU134" i="3"/>
  <c r="AU135" i="3"/>
  <c r="AU136" i="3"/>
  <c r="AU137" i="3"/>
  <c r="AU138" i="3"/>
  <c r="AU139" i="3"/>
  <c r="AU140" i="3"/>
  <c r="AU141" i="3"/>
  <c r="AU142" i="3"/>
  <c r="AU143" i="3"/>
  <c r="AU144" i="3"/>
  <c r="AU145" i="3"/>
  <c r="AU146" i="3"/>
  <c r="AU147" i="3"/>
  <c r="AU148" i="3"/>
  <c r="AU149" i="3"/>
  <c r="AU150" i="3"/>
  <c r="AU151" i="3"/>
  <c r="AU152" i="3"/>
  <c r="AU153" i="3"/>
  <c r="AU154" i="3"/>
  <c r="AU155" i="3"/>
  <c r="AU156" i="3"/>
  <c r="AU157" i="3"/>
  <c r="AU158" i="3"/>
  <c r="AU159" i="3"/>
  <c r="AU160" i="3"/>
  <c r="AU161" i="3"/>
  <c r="AU162" i="3"/>
  <c r="AU163" i="3"/>
  <c r="AU164" i="3"/>
  <c r="AU165" i="3"/>
  <c r="AU166" i="3"/>
  <c r="AU167" i="3"/>
  <c r="AU168" i="3"/>
  <c r="AU169" i="3"/>
  <c r="AU170" i="3"/>
  <c r="AU171" i="3"/>
  <c r="AU172" i="3"/>
  <c r="AU173" i="3"/>
  <c r="AU174" i="3"/>
  <c r="AU175" i="3"/>
  <c r="AU176" i="3"/>
  <c r="AU177" i="3"/>
  <c r="AU178" i="3"/>
  <c r="AU179" i="3"/>
  <c r="AU180" i="3"/>
  <c r="AU181" i="3"/>
  <c r="AU182" i="3"/>
  <c r="AU183" i="3"/>
  <c r="AU184" i="3"/>
  <c r="AU185" i="3"/>
  <c r="AU186" i="3"/>
  <c r="AU187" i="3"/>
  <c r="AU188" i="3"/>
  <c r="AU189" i="3"/>
  <c r="AU190" i="3"/>
  <c r="AU191" i="3"/>
  <c r="AU192" i="3"/>
  <c r="AU193" i="3"/>
  <c r="AU194" i="3"/>
  <c r="AU195" i="3"/>
  <c r="AU196" i="3"/>
  <c r="AU197" i="3"/>
  <c r="AU198" i="3"/>
  <c r="AU199" i="3"/>
  <c r="AU200" i="3"/>
  <c r="AU201" i="3"/>
  <c r="AU202" i="3"/>
  <c r="AU203" i="3"/>
  <c r="AU204" i="3"/>
  <c r="AU205" i="3"/>
  <c r="AU206" i="3"/>
  <c r="AU207" i="3"/>
  <c r="AU208" i="3"/>
  <c r="AU209" i="3"/>
  <c r="AU210" i="3"/>
  <c r="AU211" i="3"/>
  <c r="AU212" i="3"/>
  <c r="AU213" i="3"/>
  <c r="AU214" i="3"/>
  <c r="AU215" i="3"/>
  <c r="AU216" i="3"/>
  <c r="AU217" i="3"/>
  <c r="AU218" i="3"/>
  <c r="AU219" i="3"/>
  <c r="AU220" i="3"/>
  <c r="AU221" i="3"/>
  <c r="AU222" i="3"/>
  <c r="AU223" i="3"/>
  <c r="AU224" i="3"/>
  <c r="AU225" i="3"/>
  <c r="AU226" i="3"/>
  <c r="AU227" i="3"/>
  <c r="AU228" i="3"/>
  <c r="AU229" i="3"/>
  <c r="AU230" i="3"/>
  <c r="AU231" i="3"/>
  <c r="AU232" i="3"/>
  <c r="AU233" i="3"/>
  <c r="AU234" i="3"/>
  <c r="AU235" i="3"/>
  <c r="AU236" i="3"/>
  <c r="AU237" i="3"/>
  <c r="AU238" i="3"/>
  <c r="AU239" i="3"/>
  <c r="AU240" i="3"/>
  <c r="AU241" i="3"/>
  <c r="AU242" i="3"/>
  <c r="AU243" i="3"/>
  <c r="AU244" i="3"/>
  <c r="AU245" i="3"/>
  <c r="AU246" i="3"/>
  <c r="AU247" i="3"/>
  <c r="AU248" i="3"/>
  <c r="AU249" i="3"/>
  <c r="AU250" i="3"/>
  <c r="AU251" i="3"/>
  <c r="AU252" i="3"/>
  <c r="AU253" i="3"/>
  <c r="AU254" i="3"/>
  <c r="AU255" i="3"/>
  <c r="AU256" i="3"/>
  <c r="AU257" i="3"/>
  <c r="AU258" i="3"/>
  <c r="AU259" i="3"/>
  <c r="AU260" i="3"/>
  <c r="AU261" i="3"/>
  <c r="AU262" i="3"/>
  <c r="AU263" i="3"/>
  <c r="AU264" i="3"/>
  <c r="AU265" i="3"/>
  <c r="AU266" i="3"/>
  <c r="AU267" i="3"/>
  <c r="AU268" i="3"/>
  <c r="AU269" i="3"/>
  <c r="AU270" i="3"/>
  <c r="AU271" i="3"/>
  <c r="AU272" i="3"/>
  <c r="AU273" i="3"/>
  <c r="AU274" i="3"/>
  <c r="AU275" i="3"/>
  <c r="AU276" i="3"/>
  <c r="AU277" i="3"/>
  <c r="AU278" i="3"/>
  <c r="AU279" i="3"/>
  <c r="AU280" i="3"/>
  <c r="AU281" i="3"/>
  <c r="AU282" i="3"/>
  <c r="AU283" i="3"/>
  <c r="AU284" i="3"/>
  <c r="AU285" i="3"/>
  <c r="AU286" i="3"/>
  <c r="AU287" i="3"/>
  <c r="AU288" i="3"/>
  <c r="AU289" i="3"/>
  <c r="AU290" i="3"/>
  <c r="AU291" i="3"/>
  <c r="AU292" i="3"/>
  <c r="AU293" i="3"/>
  <c r="AU294" i="3"/>
  <c r="AU295" i="3"/>
  <c r="AU296" i="3"/>
  <c r="AU297" i="3"/>
  <c r="AU298" i="3"/>
  <c r="AU299" i="3"/>
  <c r="AU300" i="3"/>
  <c r="AU301" i="3"/>
  <c r="AU302" i="3"/>
  <c r="AU303" i="3"/>
  <c r="AU304" i="3"/>
  <c r="AU305" i="3"/>
  <c r="AU306" i="3"/>
  <c r="AU307" i="3"/>
  <c r="AU308" i="3"/>
  <c r="AU309" i="3"/>
  <c r="AU310" i="3"/>
  <c r="AU311" i="3"/>
  <c r="AU312" i="3"/>
  <c r="AU313" i="3"/>
  <c r="AU314" i="3"/>
  <c r="AU315" i="3"/>
  <c r="AU316" i="3"/>
  <c r="AU317" i="3"/>
  <c r="AU318" i="3"/>
  <c r="AU319" i="3"/>
  <c r="AU320" i="3"/>
  <c r="AU321" i="3"/>
  <c r="AU322" i="3"/>
  <c r="AU323" i="3"/>
  <c r="AU324" i="3"/>
  <c r="AU325" i="3"/>
  <c r="AU326" i="3"/>
  <c r="AU327" i="3"/>
  <c r="AU328" i="3"/>
  <c r="AU329" i="3"/>
  <c r="AU330" i="3"/>
  <c r="AU331" i="3"/>
  <c r="AU332" i="3"/>
  <c r="AU333" i="3"/>
  <c r="AU334" i="3"/>
  <c r="AU335" i="3"/>
  <c r="AU336" i="3"/>
  <c r="AU337" i="3"/>
  <c r="AU338" i="3"/>
  <c r="AU339" i="3"/>
  <c r="AU340" i="3"/>
  <c r="AU341" i="3"/>
  <c r="AU342" i="3"/>
  <c r="AU343" i="3"/>
  <c r="AU344" i="3"/>
  <c r="AU345" i="3"/>
  <c r="AU346" i="3"/>
  <c r="AU347" i="3"/>
  <c r="AU348" i="3"/>
  <c r="AU349" i="3"/>
  <c r="AU350" i="3"/>
  <c r="AU351" i="3"/>
  <c r="AU352" i="3"/>
  <c r="AU353" i="3"/>
  <c r="AU354" i="3"/>
  <c r="AU355" i="3"/>
  <c r="AU356" i="3"/>
  <c r="AU357" i="3"/>
  <c r="AU358" i="3"/>
  <c r="AU359" i="3"/>
  <c r="AU360" i="3"/>
  <c r="AU361" i="3"/>
  <c r="AU362" i="3"/>
  <c r="AU363" i="3"/>
  <c r="AU364" i="3"/>
  <c r="AU365" i="3"/>
  <c r="AU366" i="3"/>
  <c r="AU367" i="3"/>
  <c r="AU368" i="3"/>
  <c r="AU369" i="3"/>
  <c r="AU370" i="3"/>
  <c r="AU371" i="3"/>
  <c r="AU372" i="3"/>
  <c r="AU373" i="3"/>
  <c r="AU374" i="3"/>
  <c r="AU375" i="3"/>
  <c r="AU376" i="3"/>
  <c r="AU377" i="3"/>
  <c r="AU378" i="3"/>
  <c r="AU379" i="3"/>
  <c r="AU380" i="3"/>
  <c r="AU381" i="3"/>
  <c r="AU382" i="3"/>
  <c r="AU383" i="3"/>
  <c r="AU384" i="3"/>
  <c r="AU385" i="3"/>
  <c r="AU386" i="3"/>
  <c r="AU387" i="3"/>
  <c r="AU388" i="3"/>
  <c r="AU389" i="3"/>
  <c r="AU390" i="3"/>
  <c r="AU391" i="3"/>
  <c r="AU392" i="3"/>
  <c r="AU393" i="3"/>
  <c r="AU394" i="3"/>
  <c r="AU395" i="3"/>
  <c r="AU396" i="3"/>
  <c r="AU397" i="3"/>
  <c r="AU398" i="3"/>
  <c r="AU399" i="3"/>
  <c r="AU400" i="3"/>
  <c r="AU401" i="3"/>
  <c r="AU402" i="3"/>
  <c r="AU403" i="3"/>
  <c r="AU404" i="3"/>
  <c r="AU405" i="3"/>
  <c r="AU406" i="3"/>
  <c r="AU407" i="3"/>
  <c r="AU408" i="3"/>
  <c r="AU409" i="3"/>
  <c r="AU410" i="3"/>
  <c r="AU411" i="3"/>
  <c r="AU412" i="3"/>
  <c r="AU413" i="3"/>
  <c r="AU414" i="3"/>
  <c r="AU415" i="3"/>
  <c r="AU416" i="3"/>
  <c r="AU417" i="3"/>
  <c r="AU418" i="3"/>
  <c r="AU419" i="3"/>
  <c r="AU420" i="3"/>
  <c r="AU421" i="3"/>
  <c r="AU422" i="3"/>
  <c r="AU423" i="3"/>
  <c r="AU424" i="3"/>
  <c r="AU425" i="3"/>
  <c r="AU426" i="3"/>
  <c r="AU427" i="3"/>
  <c r="AU428" i="3"/>
  <c r="AU429" i="3"/>
  <c r="AU430" i="3"/>
  <c r="AU431" i="3"/>
  <c r="AU432" i="3"/>
  <c r="AU433" i="3"/>
  <c r="AU434" i="3"/>
  <c r="AU435" i="3"/>
  <c r="AU436" i="3"/>
  <c r="AU437" i="3"/>
  <c r="AU438" i="3"/>
  <c r="AU439" i="3"/>
  <c r="AU440" i="3"/>
  <c r="AU441" i="3"/>
  <c r="AU442" i="3"/>
  <c r="AU443" i="3"/>
  <c r="AU444" i="3"/>
  <c r="AU445" i="3"/>
  <c r="AU446" i="3"/>
  <c r="AU447" i="3"/>
  <c r="AU448" i="3"/>
  <c r="AU449" i="3"/>
  <c r="AU450" i="3"/>
  <c r="AU451" i="3"/>
  <c r="AU452" i="3"/>
  <c r="AU453" i="3"/>
  <c r="AU454" i="3"/>
  <c r="AU455" i="3"/>
  <c r="AU456" i="3"/>
  <c r="AU457" i="3"/>
  <c r="AU458" i="3"/>
  <c r="AU459" i="3"/>
  <c r="AU460" i="3"/>
  <c r="AU461" i="3"/>
  <c r="AU462" i="3"/>
  <c r="AU463" i="3"/>
  <c r="AU464" i="3"/>
  <c r="AU465" i="3"/>
  <c r="AU466" i="3"/>
  <c r="AU467" i="3"/>
  <c r="AU468" i="3"/>
  <c r="AU469" i="3"/>
  <c r="AU470" i="3"/>
  <c r="AU471" i="3"/>
  <c r="AU472" i="3"/>
  <c r="AU473" i="3"/>
  <c r="AU474" i="3"/>
  <c r="AU475" i="3"/>
  <c r="AU476" i="3"/>
  <c r="AU477" i="3"/>
  <c r="AU478" i="3"/>
  <c r="AU479" i="3"/>
  <c r="AU480" i="3"/>
  <c r="AU481" i="3"/>
  <c r="AU482" i="3"/>
  <c r="AU483" i="3"/>
  <c r="AU484" i="3"/>
  <c r="AU485" i="3"/>
  <c r="AU486" i="3"/>
  <c r="AU487" i="3"/>
  <c r="AU488" i="3"/>
  <c r="AU489" i="3"/>
  <c r="AU490" i="3"/>
  <c r="AU491" i="3"/>
  <c r="AU492" i="3"/>
  <c r="AU493" i="3"/>
  <c r="AU494" i="3"/>
  <c r="AU495" i="3"/>
  <c r="AU496" i="3"/>
  <c r="AU497" i="3"/>
  <c r="AU498" i="3"/>
  <c r="AU499" i="3"/>
  <c r="AR500" i="3"/>
  <c r="AR13" i="3"/>
  <c r="AR14" i="3"/>
  <c r="AR15" i="3"/>
  <c r="AR16" i="3"/>
  <c r="AR17" i="3"/>
  <c r="AR18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AR101" i="3"/>
  <c r="AR102" i="3"/>
  <c r="AR103" i="3"/>
  <c r="AR104" i="3"/>
  <c r="AR105" i="3"/>
  <c r="AR106" i="3"/>
  <c r="AR107" i="3"/>
  <c r="AR108" i="3"/>
  <c r="AR109" i="3"/>
  <c r="AR110" i="3"/>
  <c r="AR111" i="3"/>
  <c r="AR112" i="3"/>
  <c r="AR113" i="3"/>
  <c r="AR114" i="3"/>
  <c r="AR115" i="3"/>
  <c r="AR116" i="3"/>
  <c r="AR117" i="3"/>
  <c r="AR118" i="3"/>
  <c r="AR119" i="3"/>
  <c r="AR120" i="3"/>
  <c r="AR121" i="3"/>
  <c r="AR122" i="3"/>
  <c r="AR123" i="3"/>
  <c r="AR124" i="3"/>
  <c r="AR125" i="3"/>
  <c r="AR126" i="3"/>
  <c r="AR127" i="3"/>
  <c r="AR128" i="3"/>
  <c r="AR129" i="3"/>
  <c r="AR130" i="3"/>
  <c r="AR131" i="3"/>
  <c r="AR132" i="3"/>
  <c r="AR133" i="3"/>
  <c r="AR134" i="3"/>
  <c r="AR135" i="3"/>
  <c r="AR136" i="3"/>
  <c r="AR137" i="3"/>
  <c r="AR138" i="3"/>
  <c r="AR139" i="3"/>
  <c r="AR140" i="3"/>
  <c r="AR141" i="3"/>
  <c r="AR142" i="3"/>
  <c r="AR143" i="3"/>
  <c r="AR144" i="3"/>
  <c r="AR145" i="3"/>
  <c r="AR146" i="3"/>
  <c r="AR147" i="3"/>
  <c r="AR148" i="3"/>
  <c r="AR149" i="3"/>
  <c r="AR150" i="3"/>
  <c r="AR151" i="3"/>
  <c r="AR152" i="3"/>
  <c r="AR153" i="3"/>
  <c r="AR154" i="3"/>
  <c r="AR155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201" i="3"/>
  <c r="AR202" i="3"/>
  <c r="AR203" i="3"/>
  <c r="AR204" i="3"/>
  <c r="AR205" i="3"/>
  <c r="AR206" i="3"/>
  <c r="AR207" i="3"/>
  <c r="AR208" i="3"/>
  <c r="AR209" i="3"/>
  <c r="AR210" i="3"/>
  <c r="AR211" i="3"/>
  <c r="AR212" i="3"/>
  <c r="AR213" i="3"/>
  <c r="AR214" i="3"/>
  <c r="AR215" i="3"/>
  <c r="AR216" i="3"/>
  <c r="AR217" i="3"/>
  <c r="AR218" i="3"/>
  <c r="AR219" i="3"/>
  <c r="AR220" i="3"/>
  <c r="AR221" i="3"/>
  <c r="AR222" i="3"/>
  <c r="AR223" i="3"/>
  <c r="AR224" i="3"/>
  <c r="AR225" i="3"/>
  <c r="AR226" i="3"/>
  <c r="AR227" i="3"/>
  <c r="AR228" i="3"/>
  <c r="AR229" i="3"/>
  <c r="AR230" i="3"/>
  <c r="AR231" i="3"/>
  <c r="AR232" i="3"/>
  <c r="AR233" i="3"/>
  <c r="AR234" i="3"/>
  <c r="AR235" i="3"/>
  <c r="AR236" i="3"/>
  <c r="AR237" i="3"/>
  <c r="AR238" i="3"/>
  <c r="AR239" i="3"/>
  <c r="AR240" i="3"/>
  <c r="AR241" i="3"/>
  <c r="AR242" i="3"/>
  <c r="AR243" i="3"/>
  <c r="AR244" i="3"/>
  <c r="AR245" i="3"/>
  <c r="AR246" i="3"/>
  <c r="AR247" i="3"/>
  <c r="AR248" i="3"/>
  <c r="AR249" i="3"/>
  <c r="AR250" i="3"/>
  <c r="AR251" i="3"/>
  <c r="AR252" i="3"/>
  <c r="AR253" i="3"/>
  <c r="AR254" i="3"/>
  <c r="AR255" i="3"/>
  <c r="AR256" i="3"/>
  <c r="AR257" i="3"/>
  <c r="AR258" i="3"/>
  <c r="AR259" i="3"/>
  <c r="AR260" i="3"/>
  <c r="AR261" i="3"/>
  <c r="AR262" i="3"/>
  <c r="AR263" i="3"/>
  <c r="AR264" i="3"/>
  <c r="AR265" i="3"/>
  <c r="AR266" i="3"/>
  <c r="AR267" i="3"/>
  <c r="AR268" i="3"/>
  <c r="AR269" i="3"/>
  <c r="AR270" i="3"/>
  <c r="AR271" i="3"/>
  <c r="AR272" i="3"/>
  <c r="AR273" i="3"/>
  <c r="AR274" i="3"/>
  <c r="AR275" i="3"/>
  <c r="AR276" i="3"/>
  <c r="AR277" i="3"/>
  <c r="AR278" i="3"/>
  <c r="AR279" i="3"/>
  <c r="AR280" i="3"/>
  <c r="AR281" i="3"/>
  <c r="AR282" i="3"/>
  <c r="AR283" i="3"/>
  <c r="AR284" i="3"/>
  <c r="AR285" i="3"/>
  <c r="AR286" i="3"/>
  <c r="AR287" i="3"/>
  <c r="AR288" i="3"/>
  <c r="AR289" i="3"/>
  <c r="AR290" i="3"/>
  <c r="AR291" i="3"/>
  <c r="AR292" i="3"/>
  <c r="AR293" i="3"/>
  <c r="AR294" i="3"/>
  <c r="AR295" i="3"/>
  <c r="AR296" i="3"/>
  <c r="AR297" i="3"/>
  <c r="AR298" i="3"/>
  <c r="AR299" i="3"/>
  <c r="AR300" i="3"/>
  <c r="AR301" i="3"/>
  <c r="AR302" i="3"/>
  <c r="AR303" i="3"/>
  <c r="AR304" i="3"/>
  <c r="AR305" i="3"/>
  <c r="AR306" i="3"/>
  <c r="AR307" i="3"/>
  <c r="AR308" i="3"/>
  <c r="AR309" i="3"/>
  <c r="AR310" i="3"/>
  <c r="AR311" i="3"/>
  <c r="AR312" i="3"/>
  <c r="AR313" i="3"/>
  <c r="AR314" i="3"/>
  <c r="AR315" i="3"/>
  <c r="AR316" i="3"/>
  <c r="AR317" i="3"/>
  <c r="AR318" i="3"/>
  <c r="AR319" i="3"/>
  <c r="AR320" i="3"/>
  <c r="AR321" i="3"/>
  <c r="AR322" i="3"/>
  <c r="AR323" i="3"/>
  <c r="AR324" i="3"/>
  <c r="AR325" i="3"/>
  <c r="AR326" i="3"/>
  <c r="AR327" i="3"/>
  <c r="AR328" i="3"/>
  <c r="AR329" i="3"/>
  <c r="AR330" i="3"/>
  <c r="AR331" i="3"/>
  <c r="AR332" i="3"/>
  <c r="AR333" i="3"/>
  <c r="AR334" i="3"/>
  <c r="AR335" i="3"/>
  <c r="AR336" i="3"/>
  <c r="AR337" i="3"/>
  <c r="AR338" i="3"/>
  <c r="AR339" i="3"/>
  <c r="AR340" i="3"/>
  <c r="AR341" i="3"/>
  <c r="AR342" i="3"/>
  <c r="AR343" i="3"/>
  <c r="AR344" i="3"/>
  <c r="AR345" i="3"/>
  <c r="AR346" i="3"/>
  <c r="AR347" i="3"/>
  <c r="AR348" i="3"/>
  <c r="AR349" i="3"/>
  <c r="AR350" i="3"/>
  <c r="AR351" i="3"/>
  <c r="AR352" i="3"/>
  <c r="AR353" i="3"/>
  <c r="AR354" i="3"/>
  <c r="AR355" i="3"/>
  <c r="AR356" i="3"/>
  <c r="AR357" i="3"/>
  <c r="AR358" i="3"/>
  <c r="AR359" i="3"/>
  <c r="AR360" i="3"/>
  <c r="AR361" i="3"/>
  <c r="AR362" i="3"/>
  <c r="AR363" i="3"/>
  <c r="AR364" i="3"/>
  <c r="AR365" i="3"/>
  <c r="AR366" i="3"/>
  <c r="AR367" i="3"/>
  <c r="AR368" i="3"/>
  <c r="AR369" i="3"/>
  <c r="AR370" i="3"/>
  <c r="AR371" i="3"/>
  <c r="AR372" i="3"/>
  <c r="AR373" i="3"/>
  <c r="AR374" i="3"/>
  <c r="AR375" i="3"/>
  <c r="AR376" i="3"/>
  <c r="AR377" i="3"/>
  <c r="AR378" i="3"/>
  <c r="AR379" i="3"/>
  <c r="AR380" i="3"/>
  <c r="AR381" i="3"/>
  <c r="AR382" i="3"/>
  <c r="AR383" i="3"/>
  <c r="AR384" i="3"/>
  <c r="AR385" i="3"/>
  <c r="AR386" i="3"/>
  <c r="AR387" i="3"/>
  <c r="AR388" i="3"/>
  <c r="AR389" i="3"/>
  <c r="AR390" i="3"/>
  <c r="AR391" i="3"/>
  <c r="AR392" i="3"/>
  <c r="AR393" i="3"/>
  <c r="AR394" i="3"/>
  <c r="AR395" i="3"/>
  <c r="AR396" i="3"/>
  <c r="AR397" i="3"/>
  <c r="AR398" i="3"/>
  <c r="AR399" i="3"/>
  <c r="AR400" i="3"/>
  <c r="AR401" i="3"/>
  <c r="AR402" i="3"/>
  <c r="AR403" i="3"/>
  <c r="AR404" i="3"/>
  <c r="AR405" i="3"/>
  <c r="AR406" i="3"/>
  <c r="AR407" i="3"/>
  <c r="AR408" i="3"/>
  <c r="AR409" i="3"/>
  <c r="AR410" i="3"/>
  <c r="AR411" i="3"/>
  <c r="AR412" i="3"/>
  <c r="AR413" i="3"/>
  <c r="AR414" i="3"/>
  <c r="AR415" i="3"/>
  <c r="AR416" i="3"/>
  <c r="AR417" i="3"/>
  <c r="AR418" i="3"/>
  <c r="AR419" i="3"/>
  <c r="AR420" i="3"/>
  <c r="AR421" i="3"/>
  <c r="AR422" i="3"/>
  <c r="AR423" i="3"/>
  <c r="AR424" i="3"/>
  <c r="AR425" i="3"/>
  <c r="AR426" i="3"/>
  <c r="AR427" i="3"/>
  <c r="AR428" i="3"/>
  <c r="AR429" i="3"/>
  <c r="AR430" i="3"/>
  <c r="AR431" i="3"/>
  <c r="AR432" i="3"/>
  <c r="AR433" i="3"/>
  <c r="AR434" i="3"/>
  <c r="AR435" i="3"/>
  <c r="AR436" i="3"/>
  <c r="AR437" i="3"/>
  <c r="AR438" i="3"/>
  <c r="AR439" i="3"/>
  <c r="AR440" i="3"/>
  <c r="AR441" i="3"/>
  <c r="AR442" i="3"/>
  <c r="AR443" i="3"/>
  <c r="AR444" i="3"/>
  <c r="AR445" i="3"/>
  <c r="AR446" i="3"/>
  <c r="AR447" i="3"/>
  <c r="AR448" i="3"/>
  <c r="AR449" i="3"/>
  <c r="AR450" i="3"/>
  <c r="AR451" i="3"/>
  <c r="AR452" i="3"/>
  <c r="AR453" i="3"/>
  <c r="AR454" i="3"/>
  <c r="AR455" i="3"/>
  <c r="AR456" i="3"/>
  <c r="AR457" i="3"/>
  <c r="AR458" i="3"/>
  <c r="AR459" i="3"/>
  <c r="AR460" i="3"/>
  <c r="AR461" i="3"/>
  <c r="AR462" i="3"/>
  <c r="AR463" i="3"/>
  <c r="AR464" i="3"/>
  <c r="AR465" i="3"/>
  <c r="AR466" i="3"/>
  <c r="AR467" i="3"/>
  <c r="AR468" i="3"/>
  <c r="AR469" i="3"/>
  <c r="AR470" i="3"/>
  <c r="AR471" i="3"/>
  <c r="AR472" i="3"/>
  <c r="AR473" i="3"/>
  <c r="AR474" i="3"/>
  <c r="AR475" i="3"/>
  <c r="AR476" i="3"/>
  <c r="AR477" i="3"/>
  <c r="AR478" i="3"/>
  <c r="AR479" i="3"/>
  <c r="AR480" i="3"/>
  <c r="AR481" i="3"/>
  <c r="AR482" i="3"/>
  <c r="AR483" i="3"/>
  <c r="AR484" i="3"/>
  <c r="AR485" i="3"/>
  <c r="AR486" i="3"/>
  <c r="AR487" i="3"/>
  <c r="AR488" i="3"/>
  <c r="AR489" i="3"/>
  <c r="AR490" i="3"/>
  <c r="AR491" i="3"/>
  <c r="AR492" i="3"/>
  <c r="AR493" i="3"/>
  <c r="AR494" i="3"/>
  <c r="AR495" i="3"/>
  <c r="AR496" i="3"/>
  <c r="AR497" i="3"/>
  <c r="AR498" i="3"/>
  <c r="AR499" i="3"/>
  <c r="AO493" i="3"/>
  <c r="AO13" i="3"/>
  <c r="AO14" i="3"/>
  <c r="AO16" i="3"/>
  <c r="AO17" i="3"/>
  <c r="AO18" i="3"/>
  <c r="AO19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AO101" i="3"/>
  <c r="AO102" i="3"/>
  <c r="AO103" i="3"/>
  <c r="AO104" i="3"/>
  <c r="AO105" i="3"/>
  <c r="AO106" i="3"/>
  <c r="AO107" i="3"/>
  <c r="AO108" i="3"/>
  <c r="AO109" i="3"/>
  <c r="AO110" i="3"/>
  <c r="AO111" i="3"/>
  <c r="AO112" i="3"/>
  <c r="AO113" i="3"/>
  <c r="AO114" i="3"/>
  <c r="AO115" i="3"/>
  <c r="AO116" i="3"/>
  <c r="AO117" i="3"/>
  <c r="AO118" i="3"/>
  <c r="AO119" i="3"/>
  <c r="AO120" i="3"/>
  <c r="AO121" i="3"/>
  <c r="AO122" i="3"/>
  <c r="AO123" i="3"/>
  <c r="AO124" i="3"/>
  <c r="AO125" i="3"/>
  <c r="AO126" i="3"/>
  <c r="AO127" i="3"/>
  <c r="AO128" i="3"/>
  <c r="AO129" i="3"/>
  <c r="AO130" i="3"/>
  <c r="AO131" i="3"/>
  <c r="AO132" i="3"/>
  <c r="AO133" i="3"/>
  <c r="AO134" i="3"/>
  <c r="AO135" i="3"/>
  <c r="AO136" i="3"/>
  <c r="AO137" i="3"/>
  <c r="AO138" i="3"/>
  <c r="AO139" i="3"/>
  <c r="AO140" i="3"/>
  <c r="AO141" i="3"/>
  <c r="AO142" i="3"/>
  <c r="AO143" i="3"/>
  <c r="AO144" i="3"/>
  <c r="AO145" i="3"/>
  <c r="AO146" i="3"/>
  <c r="AO147" i="3"/>
  <c r="AO148" i="3"/>
  <c r="AO149" i="3"/>
  <c r="AO150" i="3"/>
  <c r="AO151" i="3"/>
  <c r="AO152" i="3"/>
  <c r="AO153" i="3"/>
  <c r="AO154" i="3"/>
  <c r="AO155" i="3"/>
  <c r="AO156" i="3"/>
  <c r="AO157" i="3"/>
  <c r="AO158" i="3"/>
  <c r="AO159" i="3"/>
  <c r="AO160" i="3"/>
  <c r="AO161" i="3"/>
  <c r="AO162" i="3"/>
  <c r="AO163" i="3"/>
  <c r="AO164" i="3"/>
  <c r="AO165" i="3"/>
  <c r="AO166" i="3"/>
  <c r="AO167" i="3"/>
  <c r="AO168" i="3"/>
  <c r="AO169" i="3"/>
  <c r="AO170" i="3"/>
  <c r="AO171" i="3"/>
  <c r="AO172" i="3"/>
  <c r="AO173" i="3"/>
  <c r="AO174" i="3"/>
  <c r="AO175" i="3"/>
  <c r="AO176" i="3"/>
  <c r="AO177" i="3"/>
  <c r="AO178" i="3"/>
  <c r="AO179" i="3"/>
  <c r="AO180" i="3"/>
  <c r="AO181" i="3"/>
  <c r="AO182" i="3"/>
  <c r="AO183" i="3"/>
  <c r="AO184" i="3"/>
  <c r="AO185" i="3"/>
  <c r="AO186" i="3"/>
  <c r="AO187" i="3"/>
  <c r="AO188" i="3"/>
  <c r="AO189" i="3"/>
  <c r="AO190" i="3"/>
  <c r="AO191" i="3"/>
  <c r="AO192" i="3"/>
  <c r="AO193" i="3"/>
  <c r="AO194" i="3"/>
  <c r="AO195" i="3"/>
  <c r="AO196" i="3"/>
  <c r="AO197" i="3"/>
  <c r="AO198" i="3"/>
  <c r="AO199" i="3"/>
  <c r="AO200" i="3"/>
  <c r="AO201" i="3"/>
  <c r="AO202" i="3"/>
  <c r="AO203" i="3"/>
  <c r="AO204" i="3"/>
  <c r="AO205" i="3"/>
  <c r="AO206" i="3"/>
  <c r="AO207" i="3"/>
  <c r="AO208" i="3"/>
  <c r="AO209" i="3"/>
  <c r="AO210" i="3"/>
  <c r="AO211" i="3"/>
  <c r="AO212" i="3"/>
  <c r="AO213" i="3"/>
  <c r="AO214" i="3"/>
  <c r="AO215" i="3"/>
  <c r="AO216" i="3"/>
  <c r="AO217" i="3"/>
  <c r="AO218" i="3"/>
  <c r="AO219" i="3"/>
  <c r="AO220" i="3"/>
  <c r="AO221" i="3"/>
  <c r="AO222" i="3"/>
  <c r="AO223" i="3"/>
  <c r="AO224" i="3"/>
  <c r="AO225" i="3"/>
  <c r="AO226" i="3"/>
  <c r="AO227" i="3"/>
  <c r="AO228" i="3"/>
  <c r="AO229" i="3"/>
  <c r="AO230" i="3"/>
  <c r="AO231" i="3"/>
  <c r="AO232" i="3"/>
  <c r="AO233" i="3"/>
  <c r="AO234" i="3"/>
  <c r="AO235" i="3"/>
  <c r="AO236" i="3"/>
  <c r="AO237" i="3"/>
  <c r="AO238" i="3"/>
  <c r="AO239" i="3"/>
  <c r="AO240" i="3"/>
  <c r="AO241" i="3"/>
  <c r="AO242" i="3"/>
  <c r="AO243" i="3"/>
  <c r="AO244" i="3"/>
  <c r="AO245" i="3"/>
  <c r="AO246" i="3"/>
  <c r="AO247" i="3"/>
  <c r="AO248" i="3"/>
  <c r="AO249" i="3"/>
  <c r="AO250" i="3"/>
  <c r="AO251" i="3"/>
  <c r="AO252" i="3"/>
  <c r="AO253" i="3"/>
  <c r="AO254" i="3"/>
  <c r="AO255" i="3"/>
  <c r="AO256" i="3"/>
  <c r="AO257" i="3"/>
  <c r="AO258" i="3"/>
  <c r="AO259" i="3"/>
  <c r="AO260" i="3"/>
  <c r="AO261" i="3"/>
  <c r="AO262" i="3"/>
  <c r="AO263" i="3"/>
  <c r="AO264" i="3"/>
  <c r="AO265" i="3"/>
  <c r="AO266" i="3"/>
  <c r="AO267" i="3"/>
  <c r="AO268" i="3"/>
  <c r="AO269" i="3"/>
  <c r="AO270" i="3"/>
  <c r="AO271" i="3"/>
  <c r="AO272" i="3"/>
  <c r="AO273" i="3"/>
  <c r="AO274" i="3"/>
  <c r="AO275" i="3"/>
  <c r="AO276" i="3"/>
  <c r="AO277" i="3"/>
  <c r="AO278" i="3"/>
  <c r="AO279" i="3"/>
  <c r="AO280" i="3"/>
  <c r="AO281" i="3"/>
  <c r="AO282" i="3"/>
  <c r="AO283" i="3"/>
  <c r="AO284" i="3"/>
  <c r="AO285" i="3"/>
  <c r="AO286" i="3"/>
  <c r="AO287" i="3"/>
  <c r="AO288" i="3"/>
  <c r="AO289" i="3"/>
  <c r="AO290" i="3"/>
  <c r="AO291" i="3"/>
  <c r="AO292" i="3"/>
  <c r="AO293" i="3"/>
  <c r="AO294" i="3"/>
  <c r="AO295" i="3"/>
  <c r="AO296" i="3"/>
  <c r="AO297" i="3"/>
  <c r="AO298" i="3"/>
  <c r="AO299" i="3"/>
  <c r="AO300" i="3"/>
  <c r="AO301" i="3"/>
  <c r="AO302" i="3"/>
  <c r="AO303" i="3"/>
  <c r="AO304" i="3"/>
  <c r="AO305" i="3"/>
  <c r="AO306" i="3"/>
  <c r="AO307" i="3"/>
  <c r="AO308" i="3"/>
  <c r="AO309" i="3"/>
  <c r="AO310" i="3"/>
  <c r="AO311" i="3"/>
  <c r="AO312" i="3"/>
  <c r="AO313" i="3"/>
  <c r="AO314" i="3"/>
  <c r="AO315" i="3"/>
  <c r="AO316" i="3"/>
  <c r="AO317" i="3"/>
  <c r="AO318" i="3"/>
  <c r="AO319" i="3"/>
  <c r="AO320" i="3"/>
  <c r="AO321" i="3"/>
  <c r="AO322" i="3"/>
  <c r="AO323" i="3"/>
  <c r="AO324" i="3"/>
  <c r="AO325" i="3"/>
  <c r="AO326" i="3"/>
  <c r="AO327" i="3"/>
  <c r="AO328" i="3"/>
  <c r="AO329" i="3"/>
  <c r="AO330" i="3"/>
  <c r="AO331" i="3"/>
  <c r="AO332" i="3"/>
  <c r="AO333" i="3"/>
  <c r="AO334" i="3"/>
  <c r="AO335" i="3"/>
  <c r="AO336" i="3"/>
  <c r="AO337" i="3"/>
  <c r="AO338" i="3"/>
  <c r="AO339" i="3"/>
  <c r="AO340" i="3"/>
  <c r="AO341" i="3"/>
  <c r="AO342" i="3"/>
  <c r="AO343" i="3"/>
  <c r="AO344" i="3"/>
  <c r="AO345" i="3"/>
  <c r="AO346" i="3"/>
  <c r="AO347" i="3"/>
  <c r="AO348" i="3"/>
  <c r="AO349" i="3"/>
  <c r="AO350" i="3"/>
  <c r="AO351" i="3"/>
  <c r="AO352" i="3"/>
  <c r="AO353" i="3"/>
  <c r="AO354" i="3"/>
  <c r="AO355" i="3"/>
  <c r="AO356" i="3"/>
  <c r="AO357" i="3"/>
  <c r="AO358" i="3"/>
  <c r="AO359" i="3"/>
  <c r="AO360" i="3"/>
  <c r="AO361" i="3"/>
  <c r="AO362" i="3"/>
  <c r="AO363" i="3"/>
  <c r="AO364" i="3"/>
  <c r="AO365" i="3"/>
  <c r="AO366" i="3"/>
  <c r="AO367" i="3"/>
  <c r="AO368" i="3"/>
  <c r="AO369" i="3"/>
  <c r="AO370" i="3"/>
  <c r="AO371" i="3"/>
  <c r="AO372" i="3"/>
  <c r="AO373" i="3"/>
  <c r="AO374" i="3"/>
  <c r="AO375" i="3"/>
  <c r="AO376" i="3"/>
  <c r="AO377" i="3"/>
  <c r="AO378" i="3"/>
  <c r="AO379" i="3"/>
  <c r="AO380" i="3"/>
  <c r="AO381" i="3"/>
  <c r="AO382" i="3"/>
  <c r="AO383" i="3"/>
  <c r="AO384" i="3"/>
  <c r="AO385" i="3"/>
  <c r="AO386" i="3"/>
  <c r="AO387" i="3"/>
  <c r="AO388" i="3"/>
  <c r="AO389" i="3"/>
  <c r="AO390" i="3"/>
  <c r="AO391" i="3"/>
  <c r="AO392" i="3"/>
  <c r="AO393" i="3"/>
  <c r="AO394" i="3"/>
  <c r="AO395" i="3"/>
  <c r="AO396" i="3"/>
  <c r="AO397" i="3"/>
  <c r="AO398" i="3"/>
  <c r="AO399" i="3"/>
  <c r="AO400" i="3"/>
  <c r="AO401" i="3"/>
  <c r="AO402" i="3"/>
  <c r="AO403" i="3"/>
  <c r="AO404" i="3"/>
  <c r="AO405" i="3"/>
  <c r="AO406" i="3"/>
  <c r="AO407" i="3"/>
  <c r="AO408" i="3"/>
  <c r="AO409" i="3"/>
  <c r="AO410" i="3"/>
  <c r="AO411" i="3"/>
  <c r="AO412" i="3"/>
  <c r="AO413" i="3"/>
  <c r="AO414" i="3"/>
  <c r="AO415" i="3"/>
  <c r="AO416" i="3"/>
  <c r="AO417" i="3"/>
  <c r="AO418" i="3"/>
  <c r="AO419" i="3"/>
  <c r="AO420" i="3"/>
  <c r="AO421" i="3"/>
  <c r="AO422" i="3"/>
  <c r="AO423" i="3"/>
  <c r="AO424" i="3"/>
  <c r="AO425" i="3"/>
  <c r="AO426" i="3"/>
  <c r="AO427" i="3"/>
  <c r="AO428" i="3"/>
  <c r="AO429" i="3"/>
  <c r="AO430" i="3"/>
  <c r="AO431" i="3"/>
  <c r="AO432" i="3"/>
  <c r="AO433" i="3"/>
  <c r="AO434" i="3"/>
  <c r="AO435" i="3"/>
  <c r="AO436" i="3"/>
  <c r="AO437" i="3"/>
  <c r="AO438" i="3"/>
  <c r="AO439" i="3"/>
  <c r="AO440" i="3"/>
  <c r="AO441" i="3"/>
  <c r="AO442" i="3"/>
  <c r="AO443" i="3"/>
  <c r="AO444" i="3"/>
  <c r="AO445" i="3"/>
  <c r="AO446" i="3"/>
  <c r="AO447" i="3"/>
  <c r="AO448" i="3"/>
  <c r="AO449" i="3"/>
  <c r="AO450" i="3"/>
  <c r="AO451" i="3"/>
  <c r="AO452" i="3"/>
  <c r="AO453" i="3"/>
  <c r="AO454" i="3"/>
  <c r="AO455" i="3"/>
  <c r="AO456" i="3"/>
  <c r="AO457" i="3"/>
  <c r="AO458" i="3"/>
  <c r="AO459" i="3"/>
  <c r="AO460" i="3"/>
  <c r="AO461" i="3"/>
  <c r="AO462" i="3"/>
  <c r="AO463" i="3"/>
  <c r="AO464" i="3"/>
  <c r="AO465" i="3"/>
  <c r="AO466" i="3"/>
  <c r="AO467" i="3"/>
  <c r="AO468" i="3"/>
  <c r="AO469" i="3"/>
  <c r="AO470" i="3"/>
  <c r="AO471" i="3"/>
  <c r="AO472" i="3"/>
  <c r="AO473" i="3"/>
  <c r="AO474" i="3"/>
  <c r="AO475" i="3"/>
  <c r="AO476" i="3"/>
  <c r="AO477" i="3"/>
  <c r="AO478" i="3"/>
  <c r="AO479" i="3"/>
  <c r="AO480" i="3"/>
  <c r="AO481" i="3"/>
  <c r="AO482" i="3"/>
  <c r="AO483" i="3"/>
  <c r="AO484" i="3"/>
  <c r="AO485" i="3"/>
  <c r="AO486" i="3"/>
  <c r="AO487" i="3"/>
  <c r="AO488" i="3"/>
  <c r="AO489" i="3"/>
  <c r="AO490" i="3"/>
  <c r="AO491" i="3"/>
  <c r="AO492" i="3"/>
  <c r="AO494" i="3"/>
  <c r="AO495" i="3"/>
  <c r="AO496" i="3"/>
  <c r="AO497" i="3"/>
  <c r="AO498" i="3"/>
  <c r="AO499" i="3"/>
  <c r="AO500" i="3"/>
  <c r="BA12" i="3"/>
  <c r="BA11" i="3"/>
  <c r="BA8" i="3"/>
  <c r="BA5" i="3"/>
  <c r="AX12" i="3"/>
  <c r="AX11" i="3"/>
  <c r="AX10" i="3"/>
  <c r="AX9" i="3"/>
  <c r="AX8" i="3"/>
  <c r="AX6" i="3"/>
  <c r="AX5" i="3"/>
  <c r="AU12" i="3"/>
  <c r="AU11" i="3"/>
  <c r="AU10" i="3"/>
  <c r="AU9" i="3"/>
  <c r="AU8" i="3"/>
  <c r="AU7" i="3"/>
  <c r="AU6" i="3"/>
  <c r="AU5" i="3"/>
  <c r="AR12" i="3"/>
  <c r="AR10" i="3"/>
  <c r="AR9" i="3"/>
  <c r="AR8" i="3"/>
  <c r="AR6" i="3"/>
  <c r="AR5" i="3"/>
  <c r="AO10" i="3"/>
  <c r="AO8" i="3"/>
  <c r="AO6" i="3"/>
  <c r="AO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301" i="3"/>
  <c r="AK302" i="3"/>
  <c r="AK303" i="3"/>
  <c r="AK304" i="3"/>
  <c r="AK305" i="3"/>
  <c r="AK306" i="3"/>
  <c r="AK307" i="3"/>
  <c r="AK308" i="3"/>
  <c r="AK309" i="3"/>
  <c r="AK310" i="3"/>
  <c r="AK311" i="3"/>
  <c r="AK312" i="3"/>
  <c r="AK313" i="3"/>
  <c r="AK314" i="3"/>
  <c r="AK315" i="3"/>
  <c r="AK316" i="3"/>
  <c r="AK317" i="3"/>
  <c r="AK318" i="3"/>
  <c r="AK319" i="3"/>
  <c r="AK320" i="3"/>
  <c r="AK321" i="3"/>
  <c r="AK322" i="3"/>
  <c r="AK323" i="3"/>
  <c r="AK324" i="3"/>
  <c r="AK325" i="3"/>
  <c r="AK326" i="3"/>
  <c r="AK327" i="3"/>
  <c r="AK328" i="3"/>
  <c r="AK329" i="3"/>
  <c r="AK330" i="3"/>
  <c r="AK331" i="3"/>
  <c r="AK332" i="3"/>
  <c r="AK333" i="3"/>
  <c r="AK334" i="3"/>
  <c r="AK335" i="3"/>
  <c r="AK336" i="3"/>
  <c r="AK337" i="3"/>
  <c r="AK338" i="3"/>
  <c r="AK339" i="3"/>
  <c r="AK340" i="3"/>
  <c r="AK341" i="3"/>
  <c r="AK342" i="3"/>
  <c r="AK343" i="3"/>
  <c r="AK344" i="3"/>
  <c r="AK345" i="3"/>
  <c r="AK346" i="3"/>
  <c r="AK347" i="3"/>
  <c r="AK348" i="3"/>
  <c r="AK349" i="3"/>
  <c r="AK350" i="3"/>
  <c r="AK351" i="3"/>
  <c r="AK352" i="3"/>
  <c r="AK353" i="3"/>
  <c r="AK354" i="3"/>
  <c r="AK355" i="3"/>
  <c r="AK356" i="3"/>
  <c r="AK357" i="3"/>
  <c r="AK358" i="3"/>
  <c r="AK359" i="3"/>
  <c r="AK360" i="3"/>
  <c r="AK361" i="3"/>
  <c r="AK362" i="3"/>
  <c r="AK363" i="3"/>
  <c r="AK364" i="3"/>
  <c r="AK365" i="3"/>
  <c r="AK366" i="3"/>
  <c r="AK367" i="3"/>
  <c r="AK368" i="3"/>
  <c r="AK369" i="3"/>
  <c r="AK370" i="3"/>
  <c r="AK371" i="3"/>
  <c r="AK372" i="3"/>
  <c r="AK373" i="3"/>
  <c r="AK374" i="3"/>
  <c r="AK375" i="3"/>
  <c r="AK376" i="3"/>
  <c r="AK377" i="3"/>
  <c r="AK378" i="3"/>
  <c r="AK379" i="3"/>
  <c r="AK380" i="3"/>
  <c r="AK381" i="3"/>
  <c r="AK382" i="3"/>
  <c r="AK383" i="3"/>
  <c r="AK384" i="3"/>
  <c r="AK385" i="3"/>
  <c r="AK386" i="3"/>
  <c r="AK387" i="3"/>
  <c r="AK388" i="3"/>
  <c r="AK389" i="3"/>
  <c r="AK390" i="3"/>
  <c r="AK391" i="3"/>
  <c r="AK392" i="3"/>
  <c r="AK393" i="3"/>
  <c r="AK394" i="3"/>
  <c r="AK395" i="3"/>
  <c r="AK396" i="3"/>
  <c r="AK397" i="3"/>
  <c r="AK398" i="3"/>
  <c r="AK399" i="3"/>
  <c r="AK400" i="3"/>
  <c r="AK401" i="3"/>
  <c r="AK402" i="3"/>
  <c r="AK403" i="3"/>
  <c r="AK404" i="3"/>
  <c r="AK405" i="3"/>
  <c r="AK406" i="3"/>
  <c r="AK407" i="3"/>
  <c r="AK408" i="3"/>
  <c r="AK409" i="3"/>
  <c r="AK410" i="3"/>
  <c r="AK411" i="3"/>
  <c r="AK412" i="3"/>
  <c r="AK413" i="3"/>
  <c r="AK414" i="3"/>
  <c r="AK415" i="3"/>
  <c r="AK416" i="3"/>
  <c r="AK417" i="3"/>
  <c r="AK418" i="3"/>
  <c r="AK419" i="3"/>
  <c r="AK420" i="3"/>
  <c r="AK421" i="3"/>
  <c r="AK422" i="3"/>
  <c r="AK423" i="3"/>
  <c r="AK424" i="3"/>
  <c r="AK425" i="3"/>
  <c r="AK426" i="3"/>
  <c r="AK427" i="3"/>
  <c r="AK428" i="3"/>
  <c r="AK429" i="3"/>
  <c r="AK430" i="3"/>
  <c r="AK431" i="3"/>
  <c r="AK432" i="3"/>
  <c r="AK433" i="3"/>
  <c r="AK434" i="3"/>
  <c r="AK435" i="3"/>
  <c r="AK436" i="3"/>
  <c r="AK437" i="3"/>
  <c r="AK438" i="3"/>
  <c r="AK439" i="3"/>
  <c r="AK440" i="3"/>
  <c r="AK441" i="3"/>
  <c r="AK442" i="3"/>
  <c r="AK443" i="3"/>
  <c r="AK444" i="3"/>
  <c r="AK445" i="3"/>
  <c r="AK446" i="3"/>
  <c r="AK447" i="3"/>
  <c r="AK448" i="3"/>
  <c r="AK449" i="3"/>
  <c r="AK450" i="3"/>
  <c r="AK451" i="3"/>
  <c r="AK452" i="3"/>
  <c r="AK453" i="3"/>
  <c r="AK454" i="3"/>
  <c r="AK455" i="3"/>
  <c r="AK456" i="3"/>
  <c r="AK457" i="3"/>
  <c r="AK458" i="3"/>
  <c r="AK459" i="3"/>
  <c r="AK460" i="3"/>
  <c r="AK461" i="3"/>
  <c r="AK462" i="3"/>
  <c r="AK463" i="3"/>
  <c r="AK464" i="3"/>
  <c r="AK465" i="3"/>
  <c r="AK466" i="3"/>
  <c r="AK467" i="3"/>
  <c r="AK468" i="3"/>
  <c r="AK469" i="3"/>
  <c r="AK470" i="3"/>
  <c r="AK471" i="3"/>
  <c r="AK472" i="3"/>
  <c r="AK473" i="3"/>
  <c r="AK474" i="3"/>
  <c r="AK475" i="3"/>
  <c r="AK476" i="3"/>
  <c r="AK477" i="3"/>
  <c r="AK478" i="3"/>
  <c r="AK479" i="3"/>
  <c r="AK480" i="3"/>
  <c r="AK481" i="3"/>
  <c r="AK482" i="3"/>
  <c r="AK483" i="3"/>
  <c r="AK484" i="3"/>
  <c r="AK485" i="3"/>
  <c r="AK486" i="3"/>
  <c r="AK487" i="3"/>
  <c r="AK488" i="3"/>
  <c r="AK489" i="3"/>
  <c r="AK490" i="3"/>
  <c r="AK491" i="3"/>
  <c r="AK492" i="3"/>
  <c r="AK493" i="3"/>
  <c r="AK494" i="3"/>
  <c r="AK495" i="3"/>
  <c r="AK496" i="3"/>
  <c r="AK497" i="3"/>
  <c r="AK498" i="3"/>
  <c r="AK499" i="3"/>
  <c r="AK500" i="3"/>
  <c r="AK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V12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AH5" i="3"/>
  <c r="AB5" i="3"/>
  <c r="Y5" i="3"/>
  <c r="V11" i="3"/>
  <c r="V9" i="3"/>
  <c r="V8" i="3"/>
  <c r="V6" i="3"/>
  <c r="V5" i="3"/>
  <c r="H7" i="3" l="1"/>
  <c r="H6" i="3"/>
  <c r="I6" i="3"/>
  <c r="I7" i="3"/>
  <c r="H8" i="3"/>
  <c r="I8" i="3"/>
  <c r="H9" i="3"/>
  <c r="I9" i="3"/>
  <c r="H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K9" i="3" l="1"/>
  <c r="M9" i="3" s="1"/>
  <c r="C30" i="2"/>
  <c r="AU500" i="3"/>
  <c r="BB7" i="3"/>
  <c r="V10" i="3" l="1"/>
  <c r="N37" i="2" l="1"/>
  <c r="I38" i="2" l="1"/>
  <c r="D34" i="2"/>
  <c r="BB6" i="3" l="1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2" i="3"/>
  <c r="BB33" i="3"/>
  <c r="BB34" i="3"/>
  <c r="BB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64" i="3"/>
  <c r="BB65" i="3"/>
  <c r="BB66" i="3"/>
  <c r="BB67" i="3"/>
  <c r="BB68" i="3"/>
  <c r="BB69" i="3"/>
  <c r="BB70" i="3"/>
  <c r="BB71" i="3"/>
  <c r="BB72" i="3"/>
  <c r="BB73" i="3"/>
  <c r="BB74" i="3"/>
  <c r="BB75" i="3"/>
  <c r="BB76" i="3"/>
  <c r="BB77" i="3"/>
  <c r="BB78" i="3"/>
  <c r="BB79" i="3"/>
  <c r="BB80" i="3"/>
  <c r="BB81" i="3"/>
  <c r="BB82" i="3"/>
  <c r="BB83" i="3"/>
  <c r="BB84" i="3"/>
  <c r="BB85" i="3"/>
  <c r="BB86" i="3"/>
  <c r="BB87" i="3"/>
  <c r="BB88" i="3"/>
  <c r="BB89" i="3"/>
  <c r="BB90" i="3"/>
  <c r="BB91" i="3"/>
  <c r="BB92" i="3"/>
  <c r="BB93" i="3"/>
  <c r="BB94" i="3"/>
  <c r="BB95" i="3"/>
  <c r="BB96" i="3"/>
  <c r="BB97" i="3"/>
  <c r="BB98" i="3"/>
  <c r="BB99" i="3"/>
  <c r="BB100" i="3"/>
  <c r="BB101" i="3"/>
  <c r="BB102" i="3"/>
  <c r="BB103" i="3"/>
  <c r="BB104" i="3"/>
  <c r="BB105" i="3"/>
  <c r="BB106" i="3"/>
  <c r="BB107" i="3"/>
  <c r="BB108" i="3"/>
  <c r="BB109" i="3"/>
  <c r="BB110" i="3"/>
  <c r="BB111" i="3"/>
  <c r="BB112" i="3"/>
  <c r="BB113" i="3"/>
  <c r="BB114" i="3"/>
  <c r="BB115" i="3"/>
  <c r="BB116" i="3"/>
  <c r="BB117" i="3"/>
  <c r="BB118" i="3"/>
  <c r="BB119" i="3"/>
  <c r="BB120" i="3"/>
  <c r="BB121" i="3"/>
  <c r="BB122" i="3"/>
  <c r="BB123" i="3"/>
  <c r="BB124" i="3"/>
  <c r="BB125" i="3"/>
  <c r="BB126" i="3"/>
  <c r="BB127" i="3"/>
  <c r="BB128" i="3"/>
  <c r="BB129" i="3"/>
  <c r="BB130" i="3"/>
  <c r="BB131" i="3"/>
  <c r="BB132" i="3"/>
  <c r="BB133" i="3"/>
  <c r="BB134" i="3"/>
  <c r="BB135" i="3"/>
  <c r="BB136" i="3"/>
  <c r="BB137" i="3"/>
  <c r="BB138" i="3"/>
  <c r="BB139" i="3"/>
  <c r="BB140" i="3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57" i="3"/>
  <c r="BB158" i="3"/>
  <c r="BB159" i="3"/>
  <c r="BB160" i="3"/>
  <c r="BB161" i="3"/>
  <c r="BB162" i="3"/>
  <c r="BB163" i="3"/>
  <c r="BB164" i="3"/>
  <c r="BB165" i="3"/>
  <c r="BB166" i="3"/>
  <c r="BB167" i="3"/>
  <c r="BB168" i="3"/>
  <c r="BB169" i="3"/>
  <c r="BB170" i="3"/>
  <c r="BB171" i="3"/>
  <c r="BB172" i="3"/>
  <c r="BB173" i="3"/>
  <c r="BB174" i="3"/>
  <c r="BB175" i="3"/>
  <c r="BB176" i="3"/>
  <c r="BB177" i="3"/>
  <c r="BB178" i="3"/>
  <c r="BB179" i="3"/>
  <c r="BB180" i="3"/>
  <c r="BB181" i="3"/>
  <c r="BB182" i="3"/>
  <c r="BB183" i="3"/>
  <c r="BB184" i="3"/>
  <c r="BB185" i="3"/>
  <c r="BB186" i="3"/>
  <c r="BB187" i="3"/>
  <c r="BB188" i="3"/>
  <c r="BB189" i="3"/>
  <c r="BB190" i="3"/>
  <c r="BB191" i="3"/>
  <c r="BB192" i="3"/>
  <c r="BB193" i="3"/>
  <c r="BB194" i="3"/>
  <c r="BB195" i="3"/>
  <c r="BB196" i="3"/>
  <c r="BB197" i="3"/>
  <c r="BB198" i="3"/>
  <c r="BB199" i="3"/>
  <c r="BB200" i="3"/>
  <c r="BB201" i="3"/>
  <c r="BB202" i="3"/>
  <c r="BB203" i="3"/>
  <c r="BB204" i="3"/>
  <c r="BB205" i="3"/>
  <c r="BB206" i="3"/>
  <c r="BB207" i="3"/>
  <c r="BB208" i="3"/>
  <c r="BB209" i="3"/>
  <c r="BB210" i="3"/>
  <c r="BB211" i="3"/>
  <c r="BB212" i="3"/>
  <c r="BB213" i="3"/>
  <c r="BB214" i="3"/>
  <c r="BB215" i="3"/>
  <c r="BB216" i="3"/>
  <c r="BB217" i="3"/>
  <c r="BB218" i="3"/>
  <c r="BB219" i="3"/>
  <c r="BB220" i="3"/>
  <c r="BB221" i="3"/>
  <c r="BB222" i="3"/>
  <c r="BB223" i="3"/>
  <c r="BB224" i="3"/>
  <c r="BB225" i="3"/>
  <c r="BB226" i="3"/>
  <c r="BB227" i="3"/>
  <c r="BB228" i="3"/>
  <c r="BB229" i="3"/>
  <c r="BB230" i="3"/>
  <c r="BB231" i="3"/>
  <c r="BB232" i="3"/>
  <c r="BB233" i="3"/>
  <c r="BB234" i="3"/>
  <c r="BB235" i="3"/>
  <c r="BB236" i="3"/>
  <c r="BB237" i="3"/>
  <c r="BB238" i="3"/>
  <c r="BB239" i="3"/>
  <c r="BB240" i="3"/>
  <c r="BB241" i="3"/>
  <c r="BB242" i="3"/>
  <c r="BB243" i="3"/>
  <c r="BB244" i="3"/>
  <c r="BB245" i="3"/>
  <c r="BB246" i="3"/>
  <c r="BB247" i="3"/>
  <c r="BB248" i="3"/>
  <c r="BB249" i="3"/>
  <c r="BB250" i="3"/>
  <c r="BB251" i="3"/>
  <c r="BB252" i="3"/>
  <c r="BB253" i="3"/>
  <c r="BB254" i="3"/>
  <c r="BB255" i="3"/>
  <c r="BB256" i="3"/>
  <c r="BB257" i="3"/>
  <c r="BB258" i="3"/>
  <c r="BB259" i="3"/>
  <c r="BB260" i="3"/>
  <c r="BB261" i="3"/>
  <c r="BB262" i="3"/>
  <c r="BB263" i="3"/>
  <c r="BB264" i="3"/>
  <c r="BB265" i="3"/>
  <c r="BB266" i="3"/>
  <c r="BB267" i="3"/>
  <c r="BB268" i="3"/>
  <c r="BB269" i="3"/>
  <c r="BB270" i="3"/>
  <c r="BB271" i="3"/>
  <c r="BB272" i="3"/>
  <c r="BB273" i="3"/>
  <c r="BB274" i="3"/>
  <c r="BB275" i="3"/>
  <c r="BB276" i="3"/>
  <c r="BB277" i="3"/>
  <c r="BB278" i="3"/>
  <c r="BB279" i="3"/>
  <c r="BB280" i="3"/>
  <c r="BB281" i="3"/>
  <c r="BB282" i="3"/>
  <c r="BB283" i="3"/>
  <c r="BB284" i="3"/>
  <c r="BB285" i="3"/>
  <c r="BB286" i="3"/>
  <c r="BB287" i="3"/>
  <c r="BB288" i="3"/>
  <c r="BB289" i="3"/>
  <c r="BB290" i="3"/>
  <c r="BB291" i="3"/>
  <c r="BB292" i="3"/>
  <c r="BB293" i="3"/>
  <c r="BB294" i="3"/>
  <c r="BB295" i="3"/>
  <c r="BB296" i="3"/>
  <c r="BB297" i="3"/>
  <c r="BB298" i="3"/>
  <c r="BB299" i="3"/>
  <c r="BB300" i="3"/>
  <c r="BB301" i="3"/>
  <c r="BB302" i="3"/>
  <c r="BB303" i="3"/>
  <c r="BB304" i="3"/>
  <c r="BB305" i="3"/>
  <c r="BB306" i="3"/>
  <c r="BB307" i="3"/>
  <c r="BB308" i="3"/>
  <c r="BB309" i="3"/>
  <c r="BB310" i="3"/>
  <c r="BB311" i="3"/>
  <c r="BB312" i="3"/>
  <c r="BB313" i="3"/>
  <c r="BB314" i="3"/>
  <c r="BB315" i="3"/>
  <c r="BB316" i="3"/>
  <c r="BB317" i="3"/>
  <c r="BB318" i="3"/>
  <c r="BB319" i="3"/>
  <c r="BB320" i="3"/>
  <c r="BB321" i="3"/>
  <c r="BB322" i="3"/>
  <c r="BB323" i="3"/>
  <c r="BB324" i="3"/>
  <c r="BB325" i="3"/>
  <c r="BB326" i="3"/>
  <c r="BB327" i="3"/>
  <c r="BB328" i="3"/>
  <c r="BB329" i="3"/>
  <c r="BB330" i="3"/>
  <c r="BB331" i="3"/>
  <c r="BB332" i="3"/>
  <c r="BB333" i="3"/>
  <c r="BB334" i="3"/>
  <c r="BB335" i="3"/>
  <c r="BB336" i="3"/>
  <c r="BB337" i="3"/>
  <c r="BB338" i="3"/>
  <c r="BB339" i="3"/>
  <c r="BB340" i="3"/>
  <c r="BB341" i="3"/>
  <c r="BB342" i="3"/>
  <c r="BB343" i="3"/>
  <c r="BB344" i="3"/>
  <c r="BB345" i="3"/>
  <c r="BB346" i="3"/>
  <c r="BB347" i="3"/>
  <c r="BB348" i="3"/>
  <c r="BB349" i="3"/>
  <c r="BB350" i="3"/>
  <c r="BB351" i="3"/>
  <c r="BB352" i="3"/>
  <c r="BB353" i="3"/>
  <c r="BB354" i="3"/>
  <c r="BB355" i="3"/>
  <c r="BB356" i="3"/>
  <c r="BB357" i="3"/>
  <c r="BB358" i="3"/>
  <c r="BB359" i="3"/>
  <c r="BB360" i="3"/>
  <c r="BB361" i="3"/>
  <c r="BB362" i="3"/>
  <c r="BB363" i="3"/>
  <c r="BB364" i="3"/>
  <c r="BB365" i="3"/>
  <c r="BB366" i="3"/>
  <c r="BB367" i="3"/>
  <c r="BB368" i="3"/>
  <c r="BB369" i="3"/>
  <c r="BB370" i="3"/>
  <c r="BB371" i="3"/>
  <c r="BB372" i="3"/>
  <c r="BB373" i="3"/>
  <c r="BB374" i="3"/>
  <c r="BB375" i="3"/>
  <c r="BB376" i="3"/>
  <c r="BB377" i="3"/>
  <c r="BB378" i="3"/>
  <c r="BB379" i="3"/>
  <c r="BB380" i="3"/>
  <c r="BB381" i="3"/>
  <c r="BB382" i="3"/>
  <c r="BB383" i="3"/>
  <c r="BB384" i="3"/>
  <c r="BB385" i="3"/>
  <c r="BB386" i="3"/>
  <c r="BB387" i="3"/>
  <c r="BB388" i="3"/>
  <c r="BB389" i="3"/>
  <c r="BB390" i="3"/>
  <c r="BB391" i="3"/>
  <c r="BB392" i="3"/>
  <c r="BB393" i="3"/>
  <c r="BB394" i="3"/>
  <c r="BB395" i="3"/>
  <c r="BB396" i="3"/>
  <c r="BB397" i="3"/>
  <c r="BB398" i="3"/>
  <c r="BB399" i="3"/>
  <c r="BB400" i="3"/>
  <c r="BB401" i="3"/>
  <c r="BB402" i="3"/>
  <c r="BB403" i="3"/>
  <c r="BB404" i="3"/>
  <c r="BB405" i="3"/>
  <c r="BB406" i="3"/>
  <c r="BB407" i="3"/>
  <c r="BB408" i="3"/>
  <c r="BB409" i="3"/>
  <c r="BB410" i="3"/>
  <c r="BB411" i="3"/>
  <c r="BB412" i="3"/>
  <c r="BB413" i="3"/>
  <c r="BB414" i="3"/>
  <c r="BB415" i="3"/>
  <c r="BB416" i="3"/>
  <c r="BB417" i="3"/>
  <c r="BB418" i="3"/>
  <c r="BB419" i="3"/>
  <c r="BB420" i="3"/>
  <c r="BB421" i="3"/>
  <c r="BB422" i="3"/>
  <c r="BB423" i="3"/>
  <c r="BB424" i="3"/>
  <c r="BB425" i="3"/>
  <c r="BB426" i="3"/>
  <c r="BB427" i="3"/>
  <c r="BB428" i="3"/>
  <c r="BB429" i="3"/>
  <c r="BB430" i="3"/>
  <c r="BB431" i="3"/>
  <c r="BB432" i="3"/>
  <c r="BB433" i="3"/>
  <c r="BB434" i="3"/>
  <c r="BB435" i="3"/>
  <c r="BB436" i="3"/>
  <c r="BB437" i="3"/>
  <c r="BB438" i="3"/>
  <c r="BB439" i="3"/>
  <c r="BB440" i="3"/>
  <c r="BB441" i="3"/>
  <c r="BB442" i="3"/>
  <c r="BB443" i="3"/>
  <c r="BB444" i="3"/>
  <c r="BB445" i="3"/>
  <c r="BB446" i="3"/>
  <c r="BB447" i="3"/>
  <c r="BB448" i="3"/>
  <c r="BB449" i="3"/>
  <c r="BB450" i="3"/>
  <c r="BB451" i="3"/>
  <c r="BB452" i="3"/>
  <c r="BB453" i="3"/>
  <c r="BB454" i="3"/>
  <c r="BB455" i="3"/>
  <c r="BB456" i="3"/>
  <c r="BB457" i="3"/>
  <c r="BB458" i="3"/>
  <c r="BB459" i="3"/>
  <c r="BB460" i="3"/>
  <c r="BB461" i="3"/>
  <c r="BB462" i="3"/>
  <c r="BB463" i="3"/>
  <c r="BB464" i="3"/>
  <c r="BB465" i="3"/>
  <c r="BB466" i="3"/>
  <c r="BB467" i="3"/>
  <c r="BB468" i="3"/>
  <c r="BB469" i="3"/>
  <c r="BB470" i="3"/>
  <c r="BB471" i="3"/>
  <c r="BB472" i="3"/>
  <c r="BB473" i="3"/>
  <c r="BB474" i="3"/>
  <c r="BB475" i="3"/>
  <c r="BB476" i="3"/>
  <c r="BB477" i="3"/>
  <c r="BB478" i="3"/>
  <c r="BB479" i="3"/>
  <c r="BB480" i="3"/>
  <c r="BB481" i="3"/>
  <c r="BB482" i="3"/>
  <c r="BB483" i="3"/>
  <c r="BB484" i="3"/>
  <c r="BB485" i="3"/>
  <c r="BB486" i="3"/>
  <c r="BB487" i="3"/>
  <c r="BB488" i="3"/>
  <c r="BB489" i="3"/>
  <c r="BB490" i="3"/>
  <c r="BB491" i="3"/>
  <c r="BB492" i="3"/>
  <c r="BB493" i="3"/>
  <c r="BB494" i="3"/>
  <c r="BB495" i="3"/>
  <c r="BB496" i="3"/>
  <c r="BB497" i="3"/>
  <c r="BB498" i="3"/>
  <c r="BB499" i="3"/>
  <c r="BB500" i="3"/>
  <c r="AL6" i="3"/>
  <c r="AL7" i="3"/>
  <c r="AL8" i="3"/>
  <c r="AL9" i="3"/>
  <c r="BC9" i="3" s="1"/>
  <c r="AL10" i="3"/>
  <c r="BC10" i="3" s="1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127" i="3"/>
  <c r="AL128" i="3"/>
  <c r="AL129" i="3"/>
  <c r="AL130" i="3"/>
  <c r="AL131" i="3"/>
  <c r="AL132" i="3"/>
  <c r="AL133" i="3"/>
  <c r="AL134" i="3"/>
  <c r="AL135" i="3"/>
  <c r="AL136" i="3"/>
  <c r="AL137" i="3"/>
  <c r="AL138" i="3"/>
  <c r="AL139" i="3"/>
  <c r="AL140" i="3"/>
  <c r="AL141" i="3"/>
  <c r="AL142" i="3"/>
  <c r="AL143" i="3"/>
  <c r="AL144" i="3"/>
  <c r="AL145" i="3"/>
  <c r="AL146" i="3"/>
  <c r="AL147" i="3"/>
  <c r="AL148" i="3"/>
  <c r="AL149" i="3"/>
  <c r="AL150" i="3"/>
  <c r="AL151" i="3"/>
  <c r="AL152" i="3"/>
  <c r="AL153" i="3"/>
  <c r="AL154" i="3"/>
  <c r="AL155" i="3"/>
  <c r="AL156" i="3"/>
  <c r="AL157" i="3"/>
  <c r="AL158" i="3"/>
  <c r="AL159" i="3"/>
  <c r="AL160" i="3"/>
  <c r="AL161" i="3"/>
  <c r="AL162" i="3"/>
  <c r="AL163" i="3"/>
  <c r="AL164" i="3"/>
  <c r="AL165" i="3"/>
  <c r="AL166" i="3"/>
  <c r="AL167" i="3"/>
  <c r="AL168" i="3"/>
  <c r="AL169" i="3"/>
  <c r="AL170" i="3"/>
  <c r="AL171" i="3"/>
  <c r="AL172" i="3"/>
  <c r="AL173" i="3"/>
  <c r="AL174" i="3"/>
  <c r="AL175" i="3"/>
  <c r="AL176" i="3"/>
  <c r="AL177" i="3"/>
  <c r="AL178" i="3"/>
  <c r="AL179" i="3"/>
  <c r="AL180" i="3"/>
  <c r="AL181" i="3"/>
  <c r="AL182" i="3"/>
  <c r="AL183" i="3"/>
  <c r="AL184" i="3"/>
  <c r="AL185" i="3"/>
  <c r="AL186" i="3"/>
  <c r="AL187" i="3"/>
  <c r="AL188" i="3"/>
  <c r="AL189" i="3"/>
  <c r="AL190" i="3"/>
  <c r="AL191" i="3"/>
  <c r="AL192" i="3"/>
  <c r="AL193" i="3"/>
  <c r="AL194" i="3"/>
  <c r="AL195" i="3"/>
  <c r="AL196" i="3"/>
  <c r="AL197" i="3"/>
  <c r="AL198" i="3"/>
  <c r="AL199" i="3"/>
  <c r="AL200" i="3"/>
  <c r="AL201" i="3"/>
  <c r="AL202" i="3"/>
  <c r="AL203" i="3"/>
  <c r="AL204" i="3"/>
  <c r="AL205" i="3"/>
  <c r="AL206" i="3"/>
  <c r="AL207" i="3"/>
  <c r="AL208" i="3"/>
  <c r="AL209" i="3"/>
  <c r="AL210" i="3"/>
  <c r="AL211" i="3"/>
  <c r="AL212" i="3"/>
  <c r="AL213" i="3"/>
  <c r="AL214" i="3"/>
  <c r="AL215" i="3"/>
  <c r="AL216" i="3"/>
  <c r="AL217" i="3"/>
  <c r="AL218" i="3"/>
  <c r="AL219" i="3"/>
  <c r="AL220" i="3"/>
  <c r="AL221" i="3"/>
  <c r="AL222" i="3"/>
  <c r="AL223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309" i="3"/>
  <c r="AL310" i="3"/>
  <c r="AL311" i="3"/>
  <c r="AL312" i="3"/>
  <c r="AL313" i="3"/>
  <c r="AL314" i="3"/>
  <c r="AL315" i="3"/>
  <c r="AL316" i="3"/>
  <c r="AL317" i="3"/>
  <c r="AL318" i="3"/>
  <c r="AL319" i="3"/>
  <c r="AL320" i="3"/>
  <c r="AL321" i="3"/>
  <c r="AL322" i="3"/>
  <c r="AL323" i="3"/>
  <c r="AL324" i="3"/>
  <c r="AL325" i="3"/>
  <c r="AL326" i="3"/>
  <c r="AL327" i="3"/>
  <c r="AL328" i="3"/>
  <c r="AL329" i="3"/>
  <c r="AL330" i="3"/>
  <c r="AL331" i="3"/>
  <c r="AL332" i="3"/>
  <c r="AL333" i="3"/>
  <c r="AL334" i="3"/>
  <c r="AL335" i="3"/>
  <c r="AL336" i="3"/>
  <c r="AL337" i="3"/>
  <c r="AL338" i="3"/>
  <c r="AL339" i="3"/>
  <c r="AL340" i="3"/>
  <c r="AL341" i="3"/>
  <c r="AL342" i="3"/>
  <c r="AL343" i="3"/>
  <c r="AL344" i="3"/>
  <c r="AL345" i="3"/>
  <c r="AL346" i="3"/>
  <c r="AL347" i="3"/>
  <c r="AL348" i="3"/>
  <c r="AL349" i="3"/>
  <c r="AL350" i="3"/>
  <c r="AL351" i="3"/>
  <c r="AL352" i="3"/>
  <c r="AL353" i="3"/>
  <c r="AL354" i="3"/>
  <c r="AL355" i="3"/>
  <c r="AL356" i="3"/>
  <c r="AL357" i="3"/>
  <c r="AL358" i="3"/>
  <c r="AL359" i="3"/>
  <c r="AL360" i="3"/>
  <c r="AL361" i="3"/>
  <c r="AL362" i="3"/>
  <c r="AL363" i="3"/>
  <c r="AL364" i="3"/>
  <c r="AL365" i="3"/>
  <c r="AL366" i="3"/>
  <c r="AL367" i="3"/>
  <c r="AL368" i="3"/>
  <c r="AL369" i="3"/>
  <c r="AL370" i="3"/>
  <c r="AL371" i="3"/>
  <c r="AL372" i="3"/>
  <c r="AL373" i="3"/>
  <c r="AL374" i="3"/>
  <c r="AL375" i="3"/>
  <c r="AL376" i="3"/>
  <c r="AL377" i="3"/>
  <c r="AL378" i="3"/>
  <c r="AL379" i="3"/>
  <c r="AL380" i="3"/>
  <c r="AL381" i="3"/>
  <c r="AL382" i="3"/>
  <c r="AL383" i="3"/>
  <c r="AL384" i="3"/>
  <c r="AL385" i="3"/>
  <c r="AL386" i="3"/>
  <c r="AL387" i="3"/>
  <c r="AL388" i="3"/>
  <c r="AL389" i="3"/>
  <c r="AL390" i="3"/>
  <c r="AL391" i="3"/>
  <c r="AL392" i="3"/>
  <c r="AL393" i="3"/>
  <c r="AL394" i="3"/>
  <c r="AL395" i="3"/>
  <c r="AL396" i="3"/>
  <c r="AL397" i="3"/>
  <c r="AL398" i="3"/>
  <c r="AL399" i="3"/>
  <c r="AL400" i="3"/>
  <c r="AL401" i="3"/>
  <c r="AL402" i="3"/>
  <c r="AL403" i="3"/>
  <c r="AL404" i="3"/>
  <c r="AL405" i="3"/>
  <c r="AL406" i="3"/>
  <c r="AL407" i="3"/>
  <c r="AL408" i="3"/>
  <c r="AL409" i="3"/>
  <c r="AL410" i="3"/>
  <c r="AL411" i="3"/>
  <c r="AL412" i="3"/>
  <c r="AL413" i="3"/>
  <c r="AL414" i="3"/>
  <c r="AL415" i="3"/>
  <c r="AL416" i="3"/>
  <c r="AL417" i="3"/>
  <c r="AL418" i="3"/>
  <c r="AL419" i="3"/>
  <c r="AL420" i="3"/>
  <c r="AL421" i="3"/>
  <c r="AL422" i="3"/>
  <c r="AL423" i="3"/>
  <c r="AL424" i="3"/>
  <c r="AL425" i="3"/>
  <c r="AL426" i="3"/>
  <c r="AL427" i="3"/>
  <c r="AL428" i="3"/>
  <c r="AL429" i="3"/>
  <c r="AL430" i="3"/>
  <c r="AL431" i="3"/>
  <c r="AL432" i="3"/>
  <c r="AL433" i="3"/>
  <c r="AL434" i="3"/>
  <c r="AL435" i="3"/>
  <c r="AL436" i="3"/>
  <c r="AL437" i="3"/>
  <c r="AL438" i="3"/>
  <c r="AL439" i="3"/>
  <c r="AL440" i="3"/>
  <c r="AL441" i="3"/>
  <c r="AL442" i="3"/>
  <c r="AL443" i="3"/>
  <c r="AL444" i="3"/>
  <c r="AL445" i="3"/>
  <c r="AL446" i="3"/>
  <c r="AL447" i="3"/>
  <c r="AL448" i="3"/>
  <c r="AL449" i="3"/>
  <c r="AL450" i="3"/>
  <c r="AL451" i="3"/>
  <c r="AL452" i="3"/>
  <c r="AL453" i="3"/>
  <c r="AL454" i="3"/>
  <c r="AL455" i="3"/>
  <c r="AL456" i="3"/>
  <c r="AL457" i="3"/>
  <c r="AL458" i="3"/>
  <c r="AL459" i="3"/>
  <c r="AL460" i="3"/>
  <c r="AL461" i="3"/>
  <c r="AL462" i="3"/>
  <c r="AL463" i="3"/>
  <c r="AL464" i="3"/>
  <c r="AL465" i="3"/>
  <c r="AL466" i="3"/>
  <c r="AL467" i="3"/>
  <c r="AL468" i="3"/>
  <c r="AL469" i="3"/>
  <c r="AL470" i="3"/>
  <c r="AL471" i="3"/>
  <c r="AL472" i="3"/>
  <c r="AL473" i="3"/>
  <c r="AL474" i="3"/>
  <c r="AL475" i="3"/>
  <c r="AL476" i="3"/>
  <c r="AL477" i="3"/>
  <c r="AL478" i="3"/>
  <c r="AL479" i="3"/>
  <c r="AL480" i="3"/>
  <c r="AL481" i="3"/>
  <c r="AL482" i="3"/>
  <c r="AL483" i="3"/>
  <c r="AL484" i="3"/>
  <c r="AL485" i="3"/>
  <c r="AL486" i="3"/>
  <c r="AL487" i="3"/>
  <c r="AL488" i="3"/>
  <c r="AL489" i="3"/>
  <c r="AL490" i="3"/>
  <c r="AL491" i="3"/>
  <c r="AL492" i="3"/>
  <c r="AL493" i="3"/>
  <c r="AL494" i="3"/>
  <c r="AL495" i="3"/>
  <c r="AL496" i="3"/>
  <c r="AL497" i="3"/>
  <c r="AL498" i="3"/>
  <c r="AL499" i="3"/>
  <c r="AL500" i="3"/>
  <c r="BB5" i="3"/>
  <c r="AL5" i="3"/>
  <c r="I5" i="3" l="1"/>
  <c r="H33" i="7" l="1"/>
  <c r="H34" i="7"/>
  <c r="H35" i="7"/>
  <c r="H36" i="7"/>
  <c r="H32" i="7"/>
  <c r="H40" i="7" l="1"/>
  <c r="C52" i="2"/>
  <c r="R55" i="2" l="1"/>
  <c r="H55" i="2"/>
  <c r="G55" i="2"/>
  <c r="S55" i="2" l="1"/>
  <c r="Q55" i="2"/>
  <c r="O55" i="2"/>
  <c r="M55" i="2"/>
  <c r="K55" i="2"/>
  <c r="F55" i="2"/>
  <c r="E55" i="2"/>
  <c r="D55" i="2"/>
  <c r="C55" i="2"/>
  <c r="I500" i="3"/>
  <c r="H500" i="3"/>
  <c r="K500" i="3" s="1"/>
  <c r="M500" i="3" s="1"/>
  <c r="BC500" i="3" s="1"/>
  <c r="A500" i="3"/>
  <c r="I499" i="3"/>
  <c r="H499" i="3"/>
  <c r="A499" i="3"/>
  <c r="I498" i="3"/>
  <c r="H498" i="3"/>
  <c r="A498" i="3"/>
  <c r="I497" i="3"/>
  <c r="H497" i="3"/>
  <c r="A497" i="3"/>
  <c r="I496" i="3"/>
  <c r="H496" i="3"/>
  <c r="A496" i="3"/>
  <c r="I495" i="3"/>
  <c r="H495" i="3"/>
  <c r="A495" i="3"/>
  <c r="I494" i="3"/>
  <c r="H494" i="3"/>
  <c r="A494" i="3"/>
  <c r="I493" i="3"/>
  <c r="H493" i="3"/>
  <c r="A493" i="3"/>
  <c r="I492" i="3"/>
  <c r="H492" i="3"/>
  <c r="A492" i="3"/>
  <c r="I491" i="3"/>
  <c r="H491" i="3"/>
  <c r="A491" i="3"/>
  <c r="I490" i="3"/>
  <c r="H490" i="3"/>
  <c r="A490" i="3"/>
  <c r="I489" i="3"/>
  <c r="H489" i="3"/>
  <c r="A489" i="3"/>
  <c r="I488" i="3"/>
  <c r="H488" i="3"/>
  <c r="A488" i="3"/>
  <c r="I487" i="3"/>
  <c r="H487" i="3"/>
  <c r="A487" i="3"/>
  <c r="I486" i="3"/>
  <c r="H486" i="3"/>
  <c r="A486" i="3"/>
  <c r="I485" i="3"/>
  <c r="H485" i="3"/>
  <c r="A485" i="3"/>
  <c r="I484" i="3"/>
  <c r="H484" i="3"/>
  <c r="A484" i="3"/>
  <c r="I483" i="3"/>
  <c r="H483" i="3"/>
  <c r="A483" i="3"/>
  <c r="I482" i="3"/>
  <c r="H482" i="3"/>
  <c r="A482" i="3"/>
  <c r="I481" i="3"/>
  <c r="H481" i="3"/>
  <c r="A481" i="3"/>
  <c r="I480" i="3"/>
  <c r="H480" i="3"/>
  <c r="A480" i="3"/>
  <c r="I479" i="3"/>
  <c r="H479" i="3"/>
  <c r="A479" i="3"/>
  <c r="I478" i="3"/>
  <c r="H478" i="3"/>
  <c r="A478" i="3"/>
  <c r="I477" i="3"/>
  <c r="H477" i="3"/>
  <c r="A477" i="3"/>
  <c r="I476" i="3"/>
  <c r="H476" i="3"/>
  <c r="A476" i="3"/>
  <c r="I475" i="3"/>
  <c r="H475" i="3"/>
  <c r="A475" i="3"/>
  <c r="I474" i="3"/>
  <c r="H474" i="3"/>
  <c r="A474" i="3"/>
  <c r="I473" i="3"/>
  <c r="H473" i="3"/>
  <c r="A473" i="3"/>
  <c r="I472" i="3"/>
  <c r="H472" i="3"/>
  <c r="A472" i="3"/>
  <c r="I471" i="3"/>
  <c r="H471" i="3"/>
  <c r="A471" i="3"/>
  <c r="I470" i="3"/>
  <c r="H470" i="3"/>
  <c r="A470" i="3"/>
  <c r="I469" i="3"/>
  <c r="H469" i="3"/>
  <c r="A469" i="3"/>
  <c r="I468" i="3"/>
  <c r="H468" i="3"/>
  <c r="A468" i="3"/>
  <c r="I467" i="3"/>
  <c r="H467" i="3"/>
  <c r="A467" i="3"/>
  <c r="I466" i="3"/>
  <c r="H466" i="3"/>
  <c r="A466" i="3"/>
  <c r="I465" i="3"/>
  <c r="H465" i="3"/>
  <c r="A465" i="3"/>
  <c r="I464" i="3"/>
  <c r="H464" i="3"/>
  <c r="A464" i="3"/>
  <c r="I463" i="3"/>
  <c r="H463" i="3"/>
  <c r="A463" i="3"/>
  <c r="I462" i="3"/>
  <c r="H462" i="3"/>
  <c r="A462" i="3"/>
  <c r="I461" i="3"/>
  <c r="H461" i="3"/>
  <c r="A461" i="3"/>
  <c r="I460" i="3"/>
  <c r="H460" i="3"/>
  <c r="A460" i="3"/>
  <c r="I459" i="3"/>
  <c r="H459" i="3"/>
  <c r="A459" i="3"/>
  <c r="I458" i="3"/>
  <c r="H458" i="3"/>
  <c r="A458" i="3"/>
  <c r="I457" i="3"/>
  <c r="H457" i="3"/>
  <c r="A457" i="3"/>
  <c r="I456" i="3"/>
  <c r="H456" i="3"/>
  <c r="A456" i="3"/>
  <c r="I455" i="3"/>
  <c r="H455" i="3"/>
  <c r="A455" i="3"/>
  <c r="I454" i="3"/>
  <c r="H454" i="3"/>
  <c r="A454" i="3"/>
  <c r="I453" i="3"/>
  <c r="H453" i="3"/>
  <c r="A453" i="3"/>
  <c r="I452" i="3"/>
  <c r="H452" i="3"/>
  <c r="A452" i="3"/>
  <c r="I451" i="3"/>
  <c r="H451" i="3"/>
  <c r="A451" i="3"/>
  <c r="I450" i="3"/>
  <c r="H450" i="3"/>
  <c r="A450" i="3"/>
  <c r="I449" i="3"/>
  <c r="H449" i="3"/>
  <c r="A449" i="3"/>
  <c r="I448" i="3"/>
  <c r="H448" i="3"/>
  <c r="A448" i="3"/>
  <c r="I447" i="3"/>
  <c r="H447" i="3"/>
  <c r="A447" i="3"/>
  <c r="I446" i="3"/>
  <c r="H446" i="3"/>
  <c r="A446" i="3"/>
  <c r="I445" i="3"/>
  <c r="H445" i="3"/>
  <c r="A445" i="3"/>
  <c r="I444" i="3"/>
  <c r="H444" i="3"/>
  <c r="A444" i="3"/>
  <c r="I443" i="3"/>
  <c r="H443" i="3"/>
  <c r="A443" i="3"/>
  <c r="I442" i="3"/>
  <c r="H442" i="3"/>
  <c r="A442" i="3"/>
  <c r="I441" i="3"/>
  <c r="H441" i="3"/>
  <c r="A441" i="3"/>
  <c r="I440" i="3"/>
  <c r="H440" i="3"/>
  <c r="A440" i="3"/>
  <c r="I439" i="3"/>
  <c r="H439" i="3"/>
  <c r="A439" i="3"/>
  <c r="I438" i="3"/>
  <c r="H438" i="3"/>
  <c r="A438" i="3"/>
  <c r="I437" i="3"/>
  <c r="H437" i="3"/>
  <c r="A437" i="3"/>
  <c r="I436" i="3"/>
  <c r="H436" i="3"/>
  <c r="A436" i="3"/>
  <c r="I435" i="3"/>
  <c r="H435" i="3"/>
  <c r="A435" i="3"/>
  <c r="I434" i="3"/>
  <c r="H434" i="3"/>
  <c r="A434" i="3"/>
  <c r="I433" i="3"/>
  <c r="H433" i="3"/>
  <c r="A433" i="3"/>
  <c r="I432" i="3"/>
  <c r="H432" i="3"/>
  <c r="A432" i="3"/>
  <c r="I431" i="3"/>
  <c r="H431" i="3"/>
  <c r="A431" i="3"/>
  <c r="I430" i="3"/>
  <c r="H430" i="3"/>
  <c r="A430" i="3"/>
  <c r="I429" i="3"/>
  <c r="H429" i="3"/>
  <c r="A429" i="3"/>
  <c r="I428" i="3"/>
  <c r="H428" i="3"/>
  <c r="A428" i="3"/>
  <c r="I427" i="3"/>
  <c r="H427" i="3"/>
  <c r="A427" i="3"/>
  <c r="I426" i="3"/>
  <c r="H426" i="3"/>
  <c r="A426" i="3"/>
  <c r="I425" i="3"/>
  <c r="H425" i="3"/>
  <c r="A425" i="3"/>
  <c r="I424" i="3"/>
  <c r="H424" i="3"/>
  <c r="A424" i="3"/>
  <c r="I423" i="3"/>
  <c r="H423" i="3"/>
  <c r="A423" i="3"/>
  <c r="I422" i="3"/>
  <c r="H422" i="3"/>
  <c r="A422" i="3"/>
  <c r="I421" i="3"/>
  <c r="H421" i="3"/>
  <c r="A421" i="3"/>
  <c r="I420" i="3"/>
  <c r="H420" i="3"/>
  <c r="A420" i="3"/>
  <c r="I419" i="3"/>
  <c r="H419" i="3"/>
  <c r="A419" i="3"/>
  <c r="I418" i="3"/>
  <c r="H418" i="3"/>
  <c r="A418" i="3"/>
  <c r="I417" i="3"/>
  <c r="H417" i="3"/>
  <c r="A417" i="3"/>
  <c r="I416" i="3"/>
  <c r="H416" i="3"/>
  <c r="A416" i="3"/>
  <c r="I415" i="3"/>
  <c r="H415" i="3"/>
  <c r="A415" i="3"/>
  <c r="I414" i="3"/>
  <c r="H414" i="3"/>
  <c r="A414" i="3"/>
  <c r="I413" i="3"/>
  <c r="H413" i="3"/>
  <c r="A413" i="3"/>
  <c r="I412" i="3"/>
  <c r="H412" i="3"/>
  <c r="A412" i="3"/>
  <c r="I411" i="3"/>
  <c r="H411" i="3"/>
  <c r="A411" i="3"/>
  <c r="I410" i="3"/>
  <c r="H410" i="3"/>
  <c r="A410" i="3"/>
  <c r="I409" i="3"/>
  <c r="H409" i="3"/>
  <c r="A409" i="3"/>
  <c r="I408" i="3"/>
  <c r="H408" i="3"/>
  <c r="A408" i="3"/>
  <c r="I407" i="3"/>
  <c r="H407" i="3"/>
  <c r="A407" i="3"/>
  <c r="I406" i="3"/>
  <c r="H406" i="3"/>
  <c r="A406" i="3"/>
  <c r="I405" i="3"/>
  <c r="H405" i="3"/>
  <c r="A405" i="3"/>
  <c r="I404" i="3"/>
  <c r="H404" i="3"/>
  <c r="A404" i="3"/>
  <c r="I403" i="3"/>
  <c r="H403" i="3"/>
  <c r="A403" i="3"/>
  <c r="I402" i="3"/>
  <c r="H402" i="3"/>
  <c r="A402" i="3"/>
  <c r="I401" i="3"/>
  <c r="H401" i="3"/>
  <c r="A401" i="3"/>
  <c r="I400" i="3"/>
  <c r="H400" i="3"/>
  <c r="A400" i="3"/>
  <c r="I399" i="3"/>
  <c r="H399" i="3"/>
  <c r="A399" i="3"/>
  <c r="I398" i="3"/>
  <c r="H398" i="3"/>
  <c r="A398" i="3"/>
  <c r="I397" i="3"/>
  <c r="H397" i="3"/>
  <c r="A397" i="3"/>
  <c r="I396" i="3"/>
  <c r="H396" i="3"/>
  <c r="A396" i="3"/>
  <c r="I395" i="3"/>
  <c r="H395" i="3"/>
  <c r="A395" i="3"/>
  <c r="I394" i="3"/>
  <c r="H394" i="3"/>
  <c r="A394" i="3"/>
  <c r="I393" i="3"/>
  <c r="H393" i="3"/>
  <c r="A393" i="3"/>
  <c r="I392" i="3"/>
  <c r="H392" i="3"/>
  <c r="A392" i="3"/>
  <c r="I391" i="3"/>
  <c r="H391" i="3"/>
  <c r="A391" i="3"/>
  <c r="I390" i="3"/>
  <c r="H390" i="3"/>
  <c r="A390" i="3"/>
  <c r="I389" i="3"/>
  <c r="H389" i="3"/>
  <c r="A389" i="3"/>
  <c r="I388" i="3"/>
  <c r="H388" i="3"/>
  <c r="A388" i="3"/>
  <c r="I387" i="3"/>
  <c r="H387" i="3"/>
  <c r="A387" i="3"/>
  <c r="I386" i="3"/>
  <c r="H386" i="3"/>
  <c r="A386" i="3"/>
  <c r="I385" i="3"/>
  <c r="H385" i="3"/>
  <c r="A385" i="3"/>
  <c r="I384" i="3"/>
  <c r="H384" i="3"/>
  <c r="A384" i="3"/>
  <c r="I383" i="3"/>
  <c r="H383" i="3"/>
  <c r="A383" i="3"/>
  <c r="I382" i="3"/>
  <c r="H382" i="3"/>
  <c r="A382" i="3"/>
  <c r="I381" i="3"/>
  <c r="H381" i="3"/>
  <c r="A381" i="3"/>
  <c r="I380" i="3"/>
  <c r="H380" i="3"/>
  <c r="A380" i="3"/>
  <c r="I379" i="3"/>
  <c r="H379" i="3"/>
  <c r="A379" i="3"/>
  <c r="I378" i="3"/>
  <c r="H378" i="3"/>
  <c r="A378" i="3"/>
  <c r="I377" i="3"/>
  <c r="H377" i="3"/>
  <c r="A377" i="3"/>
  <c r="I376" i="3"/>
  <c r="H376" i="3"/>
  <c r="A376" i="3"/>
  <c r="I375" i="3"/>
  <c r="H375" i="3"/>
  <c r="A375" i="3"/>
  <c r="I374" i="3"/>
  <c r="H374" i="3"/>
  <c r="A374" i="3"/>
  <c r="I373" i="3"/>
  <c r="H373" i="3"/>
  <c r="A373" i="3"/>
  <c r="I372" i="3"/>
  <c r="H372" i="3"/>
  <c r="A372" i="3"/>
  <c r="I371" i="3"/>
  <c r="H371" i="3"/>
  <c r="A371" i="3"/>
  <c r="I370" i="3"/>
  <c r="H370" i="3"/>
  <c r="A370" i="3"/>
  <c r="I369" i="3"/>
  <c r="H369" i="3"/>
  <c r="A369" i="3"/>
  <c r="I368" i="3"/>
  <c r="H368" i="3"/>
  <c r="K368" i="3" s="1"/>
  <c r="M368" i="3" s="1"/>
  <c r="BC368" i="3" s="1"/>
  <c r="A368" i="3"/>
  <c r="I367" i="3"/>
  <c r="H367" i="3"/>
  <c r="A367" i="3"/>
  <c r="I366" i="3"/>
  <c r="H366" i="3"/>
  <c r="A366" i="3"/>
  <c r="I365" i="3"/>
  <c r="H365" i="3"/>
  <c r="A365" i="3"/>
  <c r="I364" i="3"/>
  <c r="H364" i="3"/>
  <c r="A364" i="3"/>
  <c r="I363" i="3"/>
  <c r="H363" i="3"/>
  <c r="A363" i="3"/>
  <c r="I362" i="3"/>
  <c r="H362" i="3"/>
  <c r="A362" i="3"/>
  <c r="I361" i="3"/>
  <c r="H361" i="3"/>
  <c r="A361" i="3"/>
  <c r="I360" i="3"/>
  <c r="H360" i="3"/>
  <c r="A360" i="3"/>
  <c r="I359" i="3"/>
  <c r="H359" i="3"/>
  <c r="A359" i="3"/>
  <c r="I358" i="3"/>
  <c r="H358" i="3"/>
  <c r="A358" i="3"/>
  <c r="I357" i="3"/>
  <c r="H357" i="3"/>
  <c r="A357" i="3"/>
  <c r="I356" i="3"/>
  <c r="H356" i="3"/>
  <c r="A356" i="3"/>
  <c r="I355" i="3"/>
  <c r="H355" i="3"/>
  <c r="A355" i="3"/>
  <c r="I354" i="3"/>
  <c r="H354" i="3"/>
  <c r="A354" i="3"/>
  <c r="I353" i="3"/>
  <c r="H353" i="3"/>
  <c r="A353" i="3"/>
  <c r="I352" i="3"/>
  <c r="H352" i="3"/>
  <c r="A352" i="3"/>
  <c r="I351" i="3"/>
  <c r="H351" i="3"/>
  <c r="A351" i="3"/>
  <c r="I350" i="3"/>
  <c r="H350" i="3"/>
  <c r="A350" i="3"/>
  <c r="I349" i="3"/>
  <c r="H349" i="3"/>
  <c r="A349" i="3"/>
  <c r="I348" i="3"/>
  <c r="H348" i="3"/>
  <c r="A348" i="3"/>
  <c r="I347" i="3"/>
  <c r="H347" i="3"/>
  <c r="A347" i="3"/>
  <c r="I346" i="3"/>
  <c r="H346" i="3"/>
  <c r="A346" i="3"/>
  <c r="I345" i="3"/>
  <c r="H345" i="3"/>
  <c r="A345" i="3"/>
  <c r="I344" i="3"/>
  <c r="H344" i="3"/>
  <c r="A344" i="3"/>
  <c r="I343" i="3"/>
  <c r="H343" i="3"/>
  <c r="A343" i="3"/>
  <c r="I342" i="3"/>
  <c r="H342" i="3"/>
  <c r="A342" i="3"/>
  <c r="I341" i="3"/>
  <c r="H341" i="3"/>
  <c r="A341" i="3"/>
  <c r="I340" i="3"/>
  <c r="H340" i="3"/>
  <c r="A340" i="3"/>
  <c r="I339" i="3"/>
  <c r="H339" i="3"/>
  <c r="A339" i="3"/>
  <c r="I338" i="3"/>
  <c r="H338" i="3"/>
  <c r="A338" i="3"/>
  <c r="I337" i="3"/>
  <c r="H337" i="3"/>
  <c r="A337" i="3"/>
  <c r="I336" i="3"/>
  <c r="H336" i="3"/>
  <c r="A336" i="3"/>
  <c r="I335" i="3"/>
  <c r="H335" i="3"/>
  <c r="A335" i="3"/>
  <c r="I334" i="3"/>
  <c r="H334" i="3"/>
  <c r="A334" i="3"/>
  <c r="I333" i="3"/>
  <c r="H333" i="3"/>
  <c r="A333" i="3"/>
  <c r="I332" i="3"/>
  <c r="H332" i="3"/>
  <c r="A332" i="3"/>
  <c r="I331" i="3"/>
  <c r="H331" i="3"/>
  <c r="A331" i="3"/>
  <c r="I330" i="3"/>
  <c r="H330" i="3"/>
  <c r="A330" i="3"/>
  <c r="I329" i="3"/>
  <c r="H329" i="3"/>
  <c r="A329" i="3"/>
  <c r="I328" i="3"/>
  <c r="H328" i="3"/>
  <c r="A328" i="3"/>
  <c r="I327" i="3"/>
  <c r="H327" i="3"/>
  <c r="A327" i="3"/>
  <c r="I326" i="3"/>
  <c r="H326" i="3"/>
  <c r="A326" i="3"/>
  <c r="I325" i="3"/>
  <c r="H325" i="3"/>
  <c r="A325" i="3"/>
  <c r="I324" i="3"/>
  <c r="H324" i="3"/>
  <c r="A324" i="3"/>
  <c r="I323" i="3"/>
  <c r="H323" i="3"/>
  <c r="A323" i="3"/>
  <c r="I322" i="3"/>
  <c r="H322" i="3"/>
  <c r="A322" i="3"/>
  <c r="I321" i="3"/>
  <c r="H321" i="3"/>
  <c r="A321" i="3"/>
  <c r="I320" i="3"/>
  <c r="H320" i="3"/>
  <c r="A320" i="3"/>
  <c r="I319" i="3"/>
  <c r="H319" i="3"/>
  <c r="A319" i="3"/>
  <c r="I318" i="3"/>
  <c r="H318" i="3"/>
  <c r="A318" i="3"/>
  <c r="I317" i="3"/>
  <c r="H317" i="3"/>
  <c r="A317" i="3"/>
  <c r="I316" i="3"/>
  <c r="H316" i="3"/>
  <c r="A316" i="3"/>
  <c r="I315" i="3"/>
  <c r="H315" i="3"/>
  <c r="A315" i="3"/>
  <c r="I314" i="3"/>
  <c r="H314" i="3"/>
  <c r="A314" i="3"/>
  <c r="I313" i="3"/>
  <c r="H313" i="3"/>
  <c r="A313" i="3"/>
  <c r="I312" i="3"/>
  <c r="H312" i="3"/>
  <c r="A312" i="3"/>
  <c r="I311" i="3"/>
  <c r="H311" i="3"/>
  <c r="A311" i="3"/>
  <c r="I310" i="3"/>
  <c r="H310" i="3"/>
  <c r="A310" i="3"/>
  <c r="I309" i="3"/>
  <c r="H309" i="3"/>
  <c r="A309" i="3"/>
  <c r="I308" i="3"/>
  <c r="H308" i="3"/>
  <c r="A308" i="3"/>
  <c r="I307" i="3"/>
  <c r="H307" i="3"/>
  <c r="A307" i="3"/>
  <c r="I306" i="3"/>
  <c r="H306" i="3"/>
  <c r="A306" i="3"/>
  <c r="I305" i="3"/>
  <c r="H305" i="3"/>
  <c r="A305" i="3"/>
  <c r="I304" i="3"/>
  <c r="H304" i="3"/>
  <c r="A304" i="3"/>
  <c r="I303" i="3"/>
  <c r="H303" i="3"/>
  <c r="A303" i="3"/>
  <c r="I302" i="3"/>
  <c r="H302" i="3"/>
  <c r="A302" i="3"/>
  <c r="I301" i="3"/>
  <c r="H301" i="3"/>
  <c r="A301" i="3"/>
  <c r="I300" i="3"/>
  <c r="H300" i="3"/>
  <c r="A300" i="3"/>
  <c r="I299" i="3"/>
  <c r="H299" i="3"/>
  <c r="A299" i="3"/>
  <c r="I298" i="3"/>
  <c r="H298" i="3"/>
  <c r="A298" i="3"/>
  <c r="I297" i="3"/>
  <c r="H297" i="3"/>
  <c r="A297" i="3"/>
  <c r="I296" i="3"/>
  <c r="H296" i="3"/>
  <c r="A296" i="3"/>
  <c r="I295" i="3"/>
  <c r="H295" i="3"/>
  <c r="A295" i="3"/>
  <c r="I294" i="3"/>
  <c r="H294" i="3"/>
  <c r="A294" i="3"/>
  <c r="I293" i="3"/>
  <c r="H293" i="3"/>
  <c r="A293" i="3"/>
  <c r="I292" i="3"/>
  <c r="H292" i="3"/>
  <c r="A292" i="3"/>
  <c r="I291" i="3"/>
  <c r="H291" i="3"/>
  <c r="A291" i="3"/>
  <c r="I290" i="3"/>
  <c r="H290" i="3"/>
  <c r="A290" i="3"/>
  <c r="I289" i="3"/>
  <c r="H289" i="3"/>
  <c r="A289" i="3"/>
  <c r="I288" i="3"/>
  <c r="H288" i="3"/>
  <c r="A288" i="3"/>
  <c r="I287" i="3"/>
  <c r="H287" i="3"/>
  <c r="A287" i="3"/>
  <c r="I286" i="3"/>
  <c r="H286" i="3"/>
  <c r="A286" i="3"/>
  <c r="I285" i="3"/>
  <c r="H285" i="3"/>
  <c r="A285" i="3"/>
  <c r="I284" i="3"/>
  <c r="H284" i="3"/>
  <c r="A284" i="3"/>
  <c r="I283" i="3"/>
  <c r="H283" i="3"/>
  <c r="A283" i="3"/>
  <c r="I282" i="3"/>
  <c r="H282" i="3"/>
  <c r="A282" i="3"/>
  <c r="I281" i="3"/>
  <c r="H281" i="3"/>
  <c r="A281" i="3"/>
  <c r="I280" i="3"/>
  <c r="H280" i="3"/>
  <c r="A280" i="3"/>
  <c r="I279" i="3"/>
  <c r="H279" i="3"/>
  <c r="A279" i="3"/>
  <c r="I278" i="3"/>
  <c r="H278" i="3"/>
  <c r="A278" i="3"/>
  <c r="I277" i="3"/>
  <c r="H277" i="3"/>
  <c r="A277" i="3"/>
  <c r="I276" i="3"/>
  <c r="H276" i="3"/>
  <c r="A276" i="3"/>
  <c r="I275" i="3"/>
  <c r="H275" i="3"/>
  <c r="A275" i="3"/>
  <c r="I274" i="3"/>
  <c r="H274" i="3"/>
  <c r="A274" i="3"/>
  <c r="I273" i="3"/>
  <c r="H273" i="3"/>
  <c r="A273" i="3"/>
  <c r="I272" i="3"/>
  <c r="H272" i="3"/>
  <c r="A272" i="3"/>
  <c r="I271" i="3"/>
  <c r="H271" i="3"/>
  <c r="A271" i="3"/>
  <c r="I270" i="3"/>
  <c r="H270" i="3"/>
  <c r="A270" i="3"/>
  <c r="I269" i="3"/>
  <c r="H269" i="3"/>
  <c r="A269" i="3"/>
  <c r="I268" i="3"/>
  <c r="H268" i="3"/>
  <c r="A268" i="3"/>
  <c r="I267" i="3"/>
  <c r="H267" i="3"/>
  <c r="A267" i="3"/>
  <c r="I266" i="3"/>
  <c r="H266" i="3"/>
  <c r="A266" i="3"/>
  <c r="I265" i="3"/>
  <c r="H265" i="3"/>
  <c r="A265" i="3"/>
  <c r="I264" i="3"/>
  <c r="H264" i="3"/>
  <c r="A264" i="3"/>
  <c r="I263" i="3"/>
  <c r="H263" i="3"/>
  <c r="A263" i="3"/>
  <c r="I262" i="3"/>
  <c r="H262" i="3"/>
  <c r="A262" i="3"/>
  <c r="I261" i="3"/>
  <c r="H261" i="3"/>
  <c r="A261" i="3"/>
  <c r="I260" i="3"/>
  <c r="H260" i="3"/>
  <c r="A260" i="3"/>
  <c r="I259" i="3"/>
  <c r="H259" i="3"/>
  <c r="A259" i="3"/>
  <c r="I258" i="3"/>
  <c r="H258" i="3"/>
  <c r="A258" i="3"/>
  <c r="I257" i="3"/>
  <c r="H257" i="3"/>
  <c r="A257" i="3"/>
  <c r="I256" i="3"/>
  <c r="H256" i="3"/>
  <c r="A256" i="3"/>
  <c r="I255" i="3"/>
  <c r="H255" i="3"/>
  <c r="A255" i="3"/>
  <c r="I254" i="3"/>
  <c r="H254" i="3"/>
  <c r="A254" i="3"/>
  <c r="I253" i="3"/>
  <c r="H253" i="3"/>
  <c r="A253" i="3"/>
  <c r="I252" i="3"/>
  <c r="H252" i="3"/>
  <c r="A252" i="3"/>
  <c r="I251" i="3"/>
  <c r="H251" i="3"/>
  <c r="A251" i="3"/>
  <c r="I250" i="3"/>
  <c r="H250" i="3"/>
  <c r="A250" i="3"/>
  <c r="I249" i="3"/>
  <c r="H249" i="3"/>
  <c r="A249" i="3"/>
  <c r="I248" i="3"/>
  <c r="H248" i="3"/>
  <c r="A248" i="3"/>
  <c r="I247" i="3"/>
  <c r="H247" i="3"/>
  <c r="A247" i="3"/>
  <c r="I246" i="3"/>
  <c r="H246" i="3"/>
  <c r="A246" i="3"/>
  <c r="I245" i="3"/>
  <c r="H245" i="3"/>
  <c r="A245" i="3"/>
  <c r="I244" i="3"/>
  <c r="H244" i="3"/>
  <c r="A244" i="3"/>
  <c r="I243" i="3"/>
  <c r="H243" i="3"/>
  <c r="A243" i="3"/>
  <c r="I242" i="3"/>
  <c r="H242" i="3"/>
  <c r="A242" i="3"/>
  <c r="I241" i="3"/>
  <c r="H241" i="3"/>
  <c r="A241" i="3"/>
  <c r="I240" i="3"/>
  <c r="H240" i="3"/>
  <c r="A240" i="3"/>
  <c r="I239" i="3"/>
  <c r="H239" i="3"/>
  <c r="A239" i="3"/>
  <c r="I238" i="3"/>
  <c r="H238" i="3"/>
  <c r="A238" i="3"/>
  <c r="I237" i="3"/>
  <c r="H237" i="3"/>
  <c r="A237" i="3"/>
  <c r="I236" i="3"/>
  <c r="H236" i="3"/>
  <c r="A236" i="3"/>
  <c r="I235" i="3"/>
  <c r="H235" i="3"/>
  <c r="A235" i="3"/>
  <c r="I234" i="3"/>
  <c r="H234" i="3"/>
  <c r="A234" i="3"/>
  <c r="I233" i="3"/>
  <c r="H233" i="3"/>
  <c r="A233" i="3"/>
  <c r="I232" i="3"/>
  <c r="H232" i="3"/>
  <c r="A232" i="3"/>
  <c r="I231" i="3"/>
  <c r="H231" i="3"/>
  <c r="A231" i="3"/>
  <c r="I230" i="3"/>
  <c r="H230" i="3"/>
  <c r="A230" i="3"/>
  <c r="I229" i="3"/>
  <c r="H229" i="3"/>
  <c r="A229" i="3"/>
  <c r="I228" i="3"/>
  <c r="H228" i="3"/>
  <c r="A228" i="3"/>
  <c r="I227" i="3"/>
  <c r="H227" i="3"/>
  <c r="A227" i="3"/>
  <c r="I226" i="3"/>
  <c r="H226" i="3"/>
  <c r="A226" i="3"/>
  <c r="I225" i="3"/>
  <c r="H225" i="3"/>
  <c r="A225" i="3"/>
  <c r="I224" i="3"/>
  <c r="H224" i="3"/>
  <c r="A224" i="3"/>
  <c r="I223" i="3"/>
  <c r="H223" i="3"/>
  <c r="A223" i="3"/>
  <c r="I222" i="3"/>
  <c r="H222" i="3"/>
  <c r="A222" i="3"/>
  <c r="I221" i="3"/>
  <c r="H221" i="3"/>
  <c r="A221" i="3"/>
  <c r="I220" i="3"/>
  <c r="H220" i="3"/>
  <c r="A220" i="3"/>
  <c r="I219" i="3"/>
  <c r="H219" i="3"/>
  <c r="A219" i="3"/>
  <c r="I218" i="3"/>
  <c r="H218" i="3"/>
  <c r="A218" i="3"/>
  <c r="I217" i="3"/>
  <c r="H217" i="3"/>
  <c r="A217" i="3"/>
  <c r="I216" i="3"/>
  <c r="H216" i="3"/>
  <c r="A216" i="3"/>
  <c r="I215" i="3"/>
  <c r="H215" i="3"/>
  <c r="A215" i="3"/>
  <c r="I214" i="3"/>
  <c r="H214" i="3"/>
  <c r="A214" i="3"/>
  <c r="I213" i="3"/>
  <c r="H213" i="3"/>
  <c r="A213" i="3"/>
  <c r="I212" i="3"/>
  <c r="H212" i="3"/>
  <c r="A212" i="3"/>
  <c r="I211" i="3"/>
  <c r="H211" i="3"/>
  <c r="A211" i="3"/>
  <c r="I210" i="3"/>
  <c r="H210" i="3"/>
  <c r="A210" i="3"/>
  <c r="I209" i="3"/>
  <c r="H209" i="3"/>
  <c r="A209" i="3"/>
  <c r="I208" i="3"/>
  <c r="H208" i="3"/>
  <c r="A208" i="3"/>
  <c r="I207" i="3"/>
  <c r="H207" i="3"/>
  <c r="A207" i="3"/>
  <c r="I206" i="3"/>
  <c r="H206" i="3"/>
  <c r="A206" i="3"/>
  <c r="I205" i="3"/>
  <c r="H205" i="3"/>
  <c r="A205" i="3"/>
  <c r="I204" i="3"/>
  <c r="H204" i="3"/>
  <c r="A204" i="3"/>
  <c r="I203" i="3"/>
  <c r="H203" i="3"/>
  <c r="A203" i="3"/>
  <c r="I202" i="3"/>
  <c r="H202" i="3"/>
  <c r="A202" i="3"/>
  <c r="I201" i="3"/>
  <c r="H201" i="3"/>
  <c r="A201" i="3"/>
  <c r="I200" i="3"/>
  <c r="H200" i="3"/>
  <c r="A200" i="3"/>
  <c r="I199" i="3"/>
  <c r="H199" i="3"/>
  <c r="A199" i="3"/>
  <c r="I198" i="3"/>
  <c r="H198" i="3"/>
  <c r="A198" i="3"/>
  <c r="I197" i="3"/>
  <c r="H197" i="3"/>
  <c r="A197" i="3"/>
  <c r="I196" i="3"/>
  <c r="H196" i="3"/>
  <c r="A196" i="3"/>
  <c r="I195" i="3"/>
  <c r="H195" i="3"/>
  <c r="A195" i="3"/>
  <c r="I194" i="3"/>
  <c r="H194" i="3"/>
  <c r="A194" i="3"/>
  <c r="I193" i="3"/>
  <c r="H193" i="3"/>
  <c r="A193" i="3"/>
  <c r="I192" i="3"/>
  <c r="H192" i="3"/>
  <c r="A192" i="3"/>
  <c r="I191" i="3"/>
  <c r="H191" i="3"/>
  <c r="A191" i="3"/>
  <c r="I190" i="3"/>
  <c r="H190" i="3"/>
  <c r="A190" i="3"/>
  <c r="I189" i="3"/>
  <c r="H189" i="3"/>
  <c r="A189" i="3"/>
  <c r="I188" i="3"/>
  <c r="H188" i="3"/>
  <c r="A188" i="3"/>
  <c r="I187" i="3"/>
  <c r="H187" i="3"/>
  <c r="A187" i="3"/>
  <c r="I186" i="3"/>
  <c r="H186" i="3"/>
  <c r="A186" i="3"/>
  <c r="I185" i="3"/>
  <c r="H185" i="3"/>
  <c r="A185" i="3"/>
  <c r="I184" i="3"/>
  <c r="H184" i="3"/>
  <c r="A184" i="3"/>
  <c r="I183" i="3"/>
  <c r="H183" i="3"/>
  <c r="A183" i="3"/>
  <c r="I182" i="3"/>
  <c r="H182" i="3"/>
  <c r="A182" i="3"/>
  <c r="I181" i="3"/>
  <c r="H181" i="3"/>
  <c r="A181" i="3"/>
  <c r="I180" i="3"/>
  <c r="H180" i="3"/>
  <c r="A180" i="3"/>
  <c r="I179" i="3"/>
  <c r="H179" i="3"/>
  <c r="A179" i="3"/>
  <c r="I178" i="3"/>
  <c r="H178" i="3"/>
  <c r="A178" i="3"/>
  <c r="I177" i="3"/>
  <c r="H177" i="3"/>
  <c r="A177" i="3"/>
  <c r="I176" i="3"/>
  <c r="H176" i="3"/>
  <c r="A176" i="3"/>
  <c r="I175" i="3"/>
  <c r="H175" i="3"/>
  <c r="A175" i="3"/>
  <c r="I174" i="3"/>
  <c r="H174" i="3"/>
  <c r="A174" i="3"/>
  <c r="I173" i="3"/>
  <c r="H173" i="3"/>
  <c r="A173" i="3"/>
  <c r="I172" i="3"/>
  <c r="H172" i="3"/>
  <c r="A172" i="3"/>
  <c r="I171" i="3"/>
  <c r="H171" i="3"/>
  <c r="A171" i="3"/>
  <c r="I170" i="3"/>
  <c r="H170" i="3"/>
  <c r="A170" i="3"/>
  <c r="I169" i="3"/>
  <c r="H169" i="3"/>
  <c r="A169" i="3"/>
  <c r="I168" i="3"/>
  <c r="H168" i="3"/>
  <c r="A168" i="3"/>
  <c r="I167" i="3"/>
  <c r="H167" i="3"/>
  <c r="A167" i="3"/>
  <c r="I166" i="3"/>
  <c r="H166" i="3"/>
  <c r="A166" i="3"/>
  <c r="I165" i="3"/>
  <c r="H165" i="3"/>
  <c r="A165" i="3"/>
  <c r="I164" i="3"/>
  <c r="H164" i="3"/>
  <c r="A164" i="3"/>
  <c r="I163" i="3"/>
  <c r="H163" i="3"/>
  <c r="A163" i="3"/>
  <c r="I162" i="3"/>
  <c r="H162" i="3"/>
  <c r="A162" i="3"/>
  <c r="I161" i="3"/>
  <c r="H161" i="3"/>
  <c r="A161" i="3"/>
  <c r="I160" i="3"/>
  <c r="H160" i="3"/>
  <c r="A160" i="3"/>
  <c r="I159" i="3"/>
  <c r="H159" i="3"/>
  <c r="A159" i="3"/>
  <c r="I158" i="3"/>
  <c r="H158" i="3"/>
  <c r="A158" i="3"/>
  <c r="I157" i="3"/>
  <c r="H157" i="3"/>
  <c r="A157" i="3"/>
  <c r="I156" i="3"/>
  <c r="H156" i="3"/>
  <c r="A156" i="3"/>
  <c r="I155" i="3"/>
  <c r="H155" i="3"/>
  <c r="A155" i="3"/>
  <c r="I154" i="3"/>
  <c r="H154" i="3"/>
  <c r="A154" i="3"/>
  <c r="I153" i="3"/>
  <c r="H153" i="3"/>
  <c r="A153" i="3"/>
  <c r="I152" i="3"/>
  <c r="H152" i="3"/>
  <c r="A152" i="3"/>
  <c r="I151" i="3"/>
  <c r="H151" i="3"/>
  <c r="A151" i="3"/>
  <c r="I150" i="3"/>
  <c r="H150" i="3"/>
  <c r="A150" i="3"/>
  <c r="I149" i="3"/>
  <c r="H149" i="3"/>
  <c r="A149" i="3"/>
  <c r="I148" i="3"/>
  <c r="H148" i="3"/>
  <c r="A148" i="3"/>
  <c r="I147" i="3"/>
  <c r="H147" i="3"/>
  <c r="A147" i="3"/>
  <c r="I146" i="3"/>
  <c r="H146" i="3"/>
  <c r="A146" i="3"/>
  <c r="I145" i="3"/>
  <c r="H145" i="3"/>
  <c r="A145" i="3"/>
  <c r="I144" i="3"/>
  <c r="H144" i="3"/>
  <c r="A144" i="3"/>
  <c r="I143" i="3"/>
  <c r="H143" i="3"/>
  <c r="A143" i="3"/>
  <c r="I142" i="3"/>
  <c r="H142" i="3"/>
  <c r="A142" i="3"/>
  <c r="I141" i="3"/>
  <c r="H141" i="3"/>
  <c r="A141" i="3"/>
  <c r="I140" i="3"/>
  <c r="H140" i="3"/>
  <c r="A140" i="3"/>
  <c r="I139" i="3"/>
  <c r="H139" i="3"/>
  <c r="A139" i="3"/>
  <c r="I138" i="3"/>
  <c r="H138" i="3"/>
  <c r="A138" i="3"/>
  <c r="I137" i="3"/>
  <c r="H137" i="3"/>
  <c r="A137" i="3"/>
  <c r="I136" i="3"/>
  <c r="H136" i="3"/>
  <c r="A136" i="3"/>
  <c r="I135" i="3"/>
  <c r="H135" i="3"/>
  <c r="A135" i="3"/>
  <c r="I134" i="3"/>
  <c r="H134" i="3"/>
  <c r="A134" i="3"/>
  <c r="I133" i="3"/>
  <c r="H133" i="3"/>
  <c r="A133" i="3"/>
  <c r="I132" i="3"/>
  <c r="H132" i="3"/>
  <c r="A132" i="3"/>
  <c r="I131" i="3"/>
  <c r="H131" i="3"/>
  <c r="A131" i="3"/>
  <c r="I130" i="3"/>
  <c r="H130" i="3"/>
  <c r="A130" i="3"/>
  <c r="I129" i="3"/>
  <c r="H129" i="3"/>
  <c r="A129" i="3"/>
  <c r="I128" i="3"/>
  <c r="H128" i="3"/>
  <c r="A128" i="3"/>
  <c r="I127" i="3"/>
  <c r="H127" i="3"/>
  <c r="A127" i="3"/>
  <c r="I126" i="3"/>
  <c r="H126" i="3"/>
  <c r="A126" i="3"/>
  <c r="I125" i="3"/>
  <c r="H125" i="3"/>
  <c r="A125" i="3"/>
  <c r="I124" i="3"/>
  <c r="H124" i="3"/>
  <c r="A124" i="3"/>
  <c r="I123" i="3"/>
  <c r="H123" i="3"/>
  <c r="A123" i="3"/>
  <c r="I122" i="3"/>
  <c r="H122" i="3"/>
  <c r="A122" i="3"/>
  <c r="I121" i="3"/>
  <c r="H121" i="3"/>
  <c r="A121" i="3"/>
  <c r="I120" i="3"/>
  <c r="H120" i="3"/>
  <c r="A120" i="3"/>
  <c r="I119" i="3"/>
  <c r="H119" i="3"/>
  <c r="A119" i="3"/>
  <c r="I118" i="3"/>
  <c r="H118" i="3"/>
  <c r="A118" i="3"/>
  <c r="I117" i="3"/>
  <c r="H117" i="3"/>
  <c r="A117" i="3"/>
  <c r="I116" i="3"/>
  <c r="H116" i="3"/>
  <c r="A116" i="3"/>
  <c r="I115" i="3"/>
  <c r="H115" i="3"/>
  <c r="A115" i="3"/>
  <c r="I114" i="3"/>
  <c r="H114" i="3"/>
  <c r="A114" i="3"/>
  <c r="I113" i="3"/>
  <c r="H113" i="3"/>
  <c r="A113" i="3"/>
  <c r="I112" i="3"/>
  <c r="H112" i="3"/>
  <c r="A112" i="3"/>
  <c r="I111" i="3"/>
  <c r="H111" i="3"/>
  <c r="A111" i="3"/>
  <c r="I110" i="3"/>
  <c r="H110" i="3"/>
  <c r="A110" i="3"/>
  <c r="I109" i="3"/>
  <c r="H109" i="3"/>
  <c r="A109" i="3"/>
  <c r="I108" i="3"/>
  <c r="H108" i="3"/>
  <c r="A108" i="3"/>
  <c r="I107" i="3"/>
  <c r="H107" i="3"/>
  <c r="A107" i="3"/>
  <c r="I106" i="3"/>
  <c r="H106" i="3"/>
  <c r="A106" i="3"/>
  <c r="I105" i="3"/>
  <c r="H105" i="3"/>
  <c r="A105" i="3"/>
  <c r="I104" i="3"/>
  <c r="H104" i="3"/>
  <c r="A104" i="3"/>
  <c r="I103" i="3"/>
  <c r="H103" i="3"/>
  <c r="A103" i="3"/>
  <c r="I102" i="3"/>
  <c r="H102" i="3"/>
  <c r="A102" i="3"/>
  <c r="I101" i="3"/>
  <c r="H101" i="3"/>
  <c r="A101" i="3"/>
  <c r="I100" i="3"/>
  <c r="H100" i="3"/>
  <c r="A100" i="3"/>
  <c r="I99" i="3"/>
  <c r="H99" i="3"/>
  <c r="A99" i="3"/>
  <c r="I98" i="3"/>
  <c r="H98" i="3"/>
  <c r="A98" i="3"/>
  <c r="I97" i="3"/>
  <c r="H97" i="3"/>
  <c r="A97" i="3"/>
  <c r="I96" i="3"/>
  <c r="H96" i="3"/>
  <c r="A96" i="3"/>
  <c r="I95" i="3"/>
  <c r="H95" i="3"/>
  <c r="A95" i="3"/>
  <c r="I94" i="3"/>
  <c r="H94" i="3"/>
  <c r="A94" i="3"/>
  <c r="I93" i="3"/>
  <c r="H93" i="3"/>
  <c r="A93" i="3"/>
  <c r="I92" i="3"/>
  <c r="H92" i="3"/>
  <c r="A92" i="3"/>
  <c r="I91" i="3"/>
  <c r="H91" i="3"/>
  <c r="A91" i="3"/>
  <c r="I90" i="3"/>
  <c r="H90" i="3"/>
  <c r="A90" i="3"/>
  <c r="I89" i="3"/>
  <c r="H89" i="3"/>
  <c r="A89" i="3"/>
  <c r="I88" i="3"/>
  <c r="H88" i="3"/>
  <c r="A88" i="3"/>
  <c r="I87" i="3"/>
  <c r="H87" i="3"/>
  <c r="A87" i="3"/>
  <c r="I86" i="3"/>
  <c r="H86" i="3"/>
  <c r="A86" i="3"/>
  <c r="I85" i="3"/>
  <c r="H85" i="3"/>
  <c r="A85" i="3"/>
  <c r="I84" i="3"/>
  <c r="H84" i="3"/>
  <c r="A84" i="3"/>
  <c r="I83" i="3"/>
  <c r="H83" i="3"/>
  <c r="A83" i="3"/>
  <c r="I82" i="3"/>
  <c r="H82" i="3"/>
  <c r="A82" i="3"/>
  <c r="I81" i="3"/>
  <c r="H81" i="3"/>
  <c r="A81" i="3"/>
  <c r="I80" i="3"/>
  <c r="H80" i="3"/>
  <c r="A80" i="3"/>
  <c r="I79" i="3"/>
  <c r="H79" i="3"/>
  <c r="A79" i="3"/>
  <c r="I78" i="3"/>
  <c r="H78" i="3"/>
  <c r="A78" i="3"/>
  <c r="I77" i="3"/>
  <c r="H77" i="3"/>
  <c r="A77" i="3"/>
  <c r="I76" i="3"/>
  <c r="H76" i="3"/>
  <c r="A76" i="3"/>
  <c r="I75" i="3"/>
  <c r="H75" i="3"/>
  <c r="A75" i="3"/>
  <c r="I74" i="3"/>
  <c r="H74" i="3"/>
  <c r="A74" i="3"/>
  <c r="I73" i="3"/>
  <c r="H73" i="3"/>
  <c r="A73" i="3"/>
  <c r="I72" i="3"/>
  <c r="H72" i="3"/>
  <c r="A72" i="3"/>
  <c r="I71" i="3"/>
  <c r="H71" i="3"/>
  <c r="A71" i="3"/>
  <c r="I70" i="3"/>
  <c r="H70" i="3"/>
  <c r="A70" i="3"/>
  <c r="I69" i="3"/>
  <c r="H69" i="3"/>
  <c r="A69" i="3"/>
  <c r="I68" i="3"/>
  <c r="H68" i="3"/>
  <c r="A68" i="3"/>
  <c r="I67" i="3"/>
  <c r="H67" i="3"/>
  <c r="A67" i="3"/>
  <c r="I66" i="3"/>
  <c r="H66" i="3"/>
  <c r="A66" i="3"/>
  <c r="I65" i="3"/>
  <c r="H65" i="3"/>
  <c r="A65" i="3"/>
  <c r="I64" i="3"/>
  <c r="H64" i="3"/>
  <c r="A64" i="3"/>
  <c r="I63" i="3"/>
  <c r="H63" i="3"/>
  <c r="A63" i="3"/>
  <c r="I62" i="3"/>
  <c r="H62" i="3"/>
  <c r="A62" i="3"/>
  <c r="I61" i="3"/>
  <c r="H61" i="3"/>
  <c r="A61" i="3"/>
  <c r="I60" i="3"/>
  <c r="H60" i="3"/>
  <c r="A60" i="3"/>
  <c r="I59" i="3"/>
  <c r="H59" i="3"/>
  <c r="A59" i="3"/>
  <c r="I58" i="3"/>
  <c r="H58" i="3"/>
  <c r="A58" i="3"/>
  <c r="I57" i="3"/>
  <c r="H57" i="3"/>
  <c r="A57" i="3"/>
  <c r="I56" i="3"/>
  <c r="H56" i="3"/>
  <c r="A56" i="3"/>
  <c r="I55" i="3"/>
  <c r="H55" i="3"/>
  <c r="A55" i="3"/>
  <c r="I54" i="3"/>
  <c r="H54" i="3"/>
  <c r="A54" i="3"/>
  <c r="I53" i="3"/>
  <c r="H53" i="3"/>
  <c r="A53" i="3"/>
  <c r="I52" i="3"/>
  <c r="H52" i="3"/>
  <c r="K52" i="3" s="1"/>
  <c r="M52" i="3" s="1"/>
  <c r="BC52" i="3" s="1"/>
  <c r="A52" i="3"/>
  <c r="I51" i="3"/>
  <c r="H51" i="3"/>
  <c r="A51" i="3"/>
  <c r="I50" i="3"/>
  <c r="H50" i="3"/>
  <c r="A50" i="3"/>
  <c r="I49" i="3"/>
  <c r="H49" i="3"/>
  <c r="A49" i="3"/>
  <c r="I48" i="3"/>
  <c r="H48" i="3"/>
  <c r="A48" i="3"/>
  <c r="I47" i="3"/>
  <c r="H47" i="3"/>
  <c r="A47" i="3"/>
  <c r="I46" i="3"/>
  <c r="H46" i="3"/>
  <c r="A46" i="3"/>
  <c r="I45" i="3"/>
  <c r="H45" i="3"/>
  <c r="A45" i="3"/>
  <c r="I44" i="3"/>
  <c r="H44" i="3"/>
  <c r="K44" i="3" s="1"/>
  <c r="M44" i="3" s="1"/>
  <c r="BC44" i="3" s="1"/>
  <c r="A44" i="3"/>
  <c r="I43" i="3"/>
  <c r="H43" i="3"/>
  <c r="A43" i="3"/>
  <c r="I42" i="3"/>
  <c r="H42" i="3"/>
  <c r="A42" i="3"/>
  <c r="I41" i="3"/>
  <c r="H41" i="3"/>
  <c r="A41" i="3"/>
  <c r="I40" i="3"/>
  <c r="H40" i="3"/>
  <c r="K40" i="3" s="1"/>
  <c r="M40" i="3" s="1"/>
  <c r="BC40" i="3" s="1"/>
  <c r="A40" i="3"/>
  <c r="I39" i="3"/>
  <c r="H39" i="3"/>
  <c r="A39" i="3"/>
  <c r="I38" i="3"/>
  <c r="H38" i="3"/>
  <c r="A38" i="3"/>
  <c r="I37" i="3"/>
  <c r="H37" i="3"/>
  <c r="A37" i="3"/>
  <c r="I36" i="3"/>
  <c r="H36" i="3"/>
  <c r="A36" i="3"/>
  <c r="I35" i="3"/>
  <c r="H35" i="3"/>
  <c r="A35" i="3"/>
  <c r="I34" i="3"/>
  <c r="H34" i="3"/>
  <c r="A34" i="3"/>
  <c r="I33" i="3"/>
  <c r="H33" i="3"/>
  <c r="A33" i="3"/>
  <c r="I32" i="3"/>
  <c r="H32" i="3"/>
  <c r="A32" i="3"/>
  <c r="I31" i="3"/>
  <c r="H31" i="3"/>
  <c r="A31" i="3"/>
  <c r="I30" i="3"/>
  <c r="H30" i="3"/>
  <c r="A30" i="3"/>
  <c r="I29" i="3"/>
  <c r="H29" i="3"/>
  <c r="A29" i="3"/>
  <c r="I28" i="3"/>
  <c r="H28" i="3"/>
  <c r="A28" i="3"/>
  <c r="I27" i="3"/>
  <c r="H27" i="3"/>
  <c r="A27" i="3"/>
  <c r="I26" i="3"/>
  <c r="H26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H5" i="3"/>
  <c r="K5" i="3" s="1"/>
  <c r="A5" i="3"/>
  <c r="E7" i="7" s="1"/>
  <c r="C46" i="2"/>
  <c r="J55" i="2" s="1"/>
  <c r="C45" i="2"/>
  <c r="I55" i="2" s="1"/>
  <c r="B55" i="2"/>
  <c r="D15" i="7" l="1"/>
  <c r="D16" i="7"/>
  <c r="B22" i="7"/>
  <c r="D10" i="7"/>
  <c r="D11" i="7"/>
  <c r="D14" i="7"/>
  <c r="D12" i="7"/>
  <c r="D8" i="7"/>
  <c r="D9" i="7"/>
  <c r="K140" i="3"/>
  <c r="M140" i="3" s="1"/>
  <c r="BC140" i="3" s="1"/>
  <c r="K404" i="3"/>
  <c r="M404" i="3" s="1"/>
  <c r="BC404" i="3" s="1"/>
  <c r="K476" i="3"/>
  <c r="M476" i="3" s="1"/>
  <c r="BC476" i="3" s="1"/>
  <c r="O40" i="3"/>
  <c r="O44" i="3"/>
  <c r="O52" i="3"/>
  <c r="K64" i="3"/>
  <c r="M64" i="3" s="1"/>
  <c r="BC64" i="3" s="1"/>
  <c r="O368" i="3"/>
  <c r="O404" i="3"/>
  <c r="O476" i="3"/>
  <c r="O500" i="3"/>
  <c r="K145" i="3"/>
  <c r="M145" i="3" s="1"/>
  <c r="BC145" i="3" s="1"/>
  <c r="K149" i="3"/>
  <c r="M149" i="3" s="1"/>
  <c r="BC149" i="3" s="1"/>
  <c r="K153" i="3"/>
  <c r="M153" i="3" s="1"/>
  <c r="BC153" i="3" s="1"/>
  <c r="K161" i="3"/>
  <c r="M161" i="3" s="1"/>
  <c r="BC161" i="3" s="1"/>
  <c r="K177" i="3"/>
  <c r="M177" i="3" s="1"/>
  <c r="BC177" i="3" s="1"/>
  <c r="K181" i="3"/>
  <c r="M181" i="3" s="1"/>
  <c r="BC181" i="3" s="1"/>
  <c r="K197" i="3"/>
  <c r="M197" i="3" s="1"/>
  <c r="BC197" i="3" s="1"/>
  <c r="K201" i="3"/>
  <c r="M201" i="3" s="1"/>
  <c r="BC201" i="3" s="1"/>
  <c r="K249" i="3"/>
  <c r="M249" i="3" s="1"/>
  <c r="BC249" i="3" s="1"/>
  <c r="K257" i="3"/>
  <c r="M257" i="3" s="1"/>
  <c r="BC257" i="3" s="1"/>
  <c r="K269" i="3"/>
  <c r="M269" i="3" s="1"/>
  <c r="BC269" i="3" s="1"/>
  <c r="K325" i="3"/>
  <c r="M325" i="3" s="1"/>
  <c r="BC325" i="3" s="1"/>
  <c r="K369" i="3"/>
  <c r="M369" i="3" s="1"/>
  <c r="BC369" i="3" s="1"/>
  <c r="K381" i="3"/>
  <c r="M381" i="3" s="1"/>
  <c r="BC381" i="3" s="1"/>
  <c r="K397" i="3"/>
  <c r="M397" i="3" s="1"/>
  <c r="BC397" i="3" s="1"/>
  <c r="K401" i="3"/>
  <c r="M401" i="3" s="1"/>
  <c r="BC401" i="3" s="1"/>
  <c r="K409" i="3"/>
  <c r="M409" i="3" s="1"/>
  <c r="BC409" i="3" s="1"/>
  <c r="K497" i="3"/>
  <c r="M497" i="3" s="1"/>
  <c r="BC497" i="3" s="1"/>
  <c r="K147" i="3"/>
  <c r="M147" i="3" s="1"/>
  <c r="BC147" i="3" s="1"/>
  <c r="K155" i="3"/>
  <c r="M155" i="3" s="1"/>
  <c r="BC155" i="3" s="1"/>
  <c r="K219" i="3"/>
  <c r="M219" i="3" s="1"/>
  <c r="BC219" i="3" s="1"/>
  <c r="K239" i="3"/>
  <c r="M239" i="3" s="1"/>
  <c r="BC239" i="3" s="1"/>
  <c r="K474" i="3"/>
  <c r="M474" i="3" s="1"/>
  <c r="BC474" i="3" s="1"/>
  <c r="K252" i="3"/>
  <c r="M252" i="3" s="1"/>
  <c r="BC252" i="3" s="1"/>
  <c r="K272" i="3"/>
  <c r="M272" i="3" s="1"/>
  <c r="BC272" i="3" s="1"/>
  <c r="K340" i="3"/>
  <c r="M340" i="3" s="1"/>
  <c r="BC340" i="3" s="1"/>
  <c r="K352" i="3"/>
  <c r="M352" i="3" s="1"/>
  <c r="BC352" i="3" s="1"/>
  <c r="E6" i="2"/>
  <c r="K115" i="3"/>
  <c r="M115" i="3" s="1"/>
  <c r="BC115" i="3" s="1"/>
  <c r="K127" i="3"/>
  <c r="M127" i="3" s="1"/>
  <c r="BC127" i="3" s="1"/>
  <c r="K131" i="3"/>
  <c r="M131" i="3" s="1"/>
  <c r="BC131" i="3" s="1"/>
  <c r="K359" i="3"/>
  <c r="M359" i="3" s="1"/>
  <c r="BC359" i="3" s="1"/>
  <c r="K419" i="3"/>
  <c r="M419" i="3" s="1"/>
  <c r="BC419" i="3" s="1"/>
  <c r="K58" i="3"/>
  <c r="M58" i="3" s="1"/>
  <c r="BC58" i="3" s="1"/>
  <c r="K66" i="3"/>
  <c r="M66" i="3" s="1"/>
  <c r="BC66" i="3" s="1"/>
  <c r="K142" i="3"/>
  <c r="M142" i="3" s="1"/>
  <c r="BC142" i="3" s="1"/>
  <c r="K150" i="3"/>
  <c r="M150" i="3" s="1"/>
  <c r="BC150" i="3" s="1"/>
  <c r="K218" i="3"/>
  <c r="M218" i="3" s="1"/>
  <c r="BC218" i="3" s="1"/>
  <c r="K230" i="3"/>
  <c r="M230" i="3" s="1"/>
  <c r="BC230" i="3" s="1"/>
  <c r="K289" i="3"/>
  <c r="M289" i="3" s="1"/>
  <c r="BC289" i="3" s="1"/>
  <c r="K305" i="3"/>
  <c r="M305" i="3" s="1"/>
  <c r="BC305" i="3" s="1"/>
  <c r="K353" i="3"/>
  <c r="M353" i="3" s="1"/>
  <c r="BC353" i="3" s="1"/>
  <c r="K110" i="3"/>
  <c r="M110" i="3" s="1"/>
  <c r="BC110" i="3" s="1"/>
  <c r="K118" i="3"/>
  <c r="M118" i="3" s="1"/>
  <c r="BC118" i="3" s="1"/>
  <c r="K126" i="3"/>
  <c r="M126" i="3" s="1"/>
  <c r="BC126" i="3" s="1"/>
  <c r="K67" i="3"/>
  <c r="M67" i="3" s="1"/>
  <c r="BC67" i="3" s="1"/>
  <c r="K251" i="3"/>
  <c r="M251" i="3" s="1"/>
  <c r="BC251" i="3" s="1"/>
  <c r="K283" i="3"/>
  <c r="M283" i="3" s="1"/>
  <c r="BC283" i="3" s="1"/>
  <c r="K299" i="3"/>
  <c r="M299" i="3" s="1"/>
  <c r="BC299" i="3" s="1"/>
  <c r="K331" i="3"/>
  <c r="M331" i="3" s="1"/>
  <c r="BC331" i="3" s="1"/>
  <c r="K339" i="3"/>
  <c r="M339" i="3" s="1"/>
  <c r="BC339" i="3" s="1"/>
  <c r="K431" i="3"/>
  <c r="M431" i="3" s="1"/>
  <c r="BC431" i="3" s="1"/>
  <c r="K479" i="3"/>
  <c r="M479" i="3" s="1"/>
  <c r="BC479" i="3" s="1"/>
  <c r="K285" i="3"/>
  <c r="M285" i="3" s="1"/>
  <c r="BC285" i="3" s="1"/>
  <c r="K317" i="3"/>
  <c r="M317" i="3" s="1"/>
  <c r="BC317" i="3" s="1"/>
  <c r="K224" i="3"/>
  <c r="M224" i="3" s="1"/>
  <c r="BC224" i="3" s="1"/>
  <c r="K228" i="3"/>
  <c r="M228" i="3" s="1"/>
  <c r="BC228" i="3" s="1"/>
  <c r="K236" i="3"/>
  <c r="M236" i="3" s="1"/>
  <c r="BC236" i="3" s="1"/>
  <c r="K248" i="3"/>
  <c r="M248" i="3" s="1"/>
  <c r="BC248" i="3" s="1"/>
  <c r="K276" i="3"/>
  <c r="M276" i="3" s="1"/>
  <c r="BC276" i="3" s="1"/>
  <c r="K300" i="3"/>
  <c r="M300" i="3" s="1"/>
  <c r="BC300" i="3" s="1"/>
  <c r="K320" i="3"/>
  <c r="M320" i="3" s="1"/>
  <c r="BC320" i="3" s="1"/>
  <c r="K344" i="3"/>
  <c r="M344" i="3" s="1"/>
  <c r="BC344" i="3" s="1"/>
  <c r="K348" i="3"/>
  <c r="M348" i="3" s="1"/>
  <c r="BC348" i="3" s="1"/>
  <c r="K361" i="3"/>
  <c r="M361" i="3" s="1"/>
  <c r="BC361" i="3" s="1"/>
  <c r="K205" i="3"/>
  <c r="M205" i="3" s="1"/>
  <c r="BC205" i="3" s="1"/>
  <c r="K301" i="3"/>
  <c r="M301" i="3" s="1"/>
  <c r="BC301" i="3" s="1"/>
  <c r="K41" i="3"/>
  <c r="M41" i="3" s="1"/>
  <c r="BC41" i="3" s="1"/>
  <c r="K57" i="3"/>
  <c r="M57" i="3" s="1"/>
  <c r="BC57" i="3" s="1"/>
  <c r="K61" i="3"/>
  <c r="M61" i="3" s="1"/>
  <c r="BC61" i="3" s="1"/>
  <c r="K69" i="3"/>
  <c r="M69" i="3" s="1"/>
  <c r="BC69" i="3" s="1"/>
  <c r="K73" i="3"/>
  <c r="M73" i="3" s="1"/>
  <c r="BC73" i="3" s="1"/>
  <c r="K81" i="3"/>
  <c r="M81" i="3" s="1"/>
  <c r="BC81" i="3" s="1"/>
  <c r="K85" i="3"/>
  <c r="M85" i="3" s="1"/>
  <c r="BC85" i="3" s="1"/>
  <c r="K105" i="3"/>
  <c r="M105" i="3" s="1"/>
  <c r="BC105" i="3" s="1"/>
  <c r="K109" i="3"/>
  <c r="M109" i="3" s="1"/>
  <c r="BC109" i="3" s="1"/>
  <c r="K121" i="3"/>
  <c r="M121" i="3" s="1"/>
  <c r="BC121" i="3" s="1"/>
  <c r="K125" i="3"/>
  <c r="M125" i="3" s="1"/>
  <c r="BC125" i="3" s="1"/>
  <c r="K137" i="3"/>
  <c r="M137" i="3" s="1"/>
  <c r="BC137" i="3" s="1"/>
  <c r="K420" i="3"/>
  <c r="M420" i="3" s="1"/>
  <c r="BC420" i="3" s="1"/>
  <c r="K428" i="3"/>
  <c r="M428" i="3" s="1"/>
  <c r="BC428" i="3" s="1"/>
  <c r="K436" i="3"/>
  <c r="M436" i="3" s="1"/>
  <c r="BC436" i="3" s="1"/>
  <c r="K468" i="3"/>
  <c r="M468" i="3" s="1"/>
  <c r="BC468" i="3" s="1"/>
  <c r="K293" i="3"/>
  <c r="M293" i="3" s="1"/>
  <c r="BC293" i="3" s="1"/>
  <c r="K357" i="3"/>
  <c r="M357" i="3" s="1"/>
  <c r="BC357" i="3" s="1"/>
  <c r="K198" i="3"/>
  <c r="M198" i="3" s="1"/>
  <c r="BC198" i="3" s="1"/>
  <c r="K310" i="3"/>
  <c r="M310" i="3" s="1"/>
  <c r="BC310" i="3" s="1"/>
  <c r="K394" i="3"/>
  <c r="M394" i="3" s="1"/>
  <c r="BC394" i="3" s="1"/>
  <c r="K398" i="3"/>
  <c r="M398" i="3" s="1"/>
  <c r="BC398" i="3" s="1"/>
  <c r="K422" i="3"/>
  <c r="M422" i="3" s="1"/>
  <c r="BC422" i="3" s="1"/>
  <c r="K426" i="3"/>
  <c r="M426" i="3" s="1"/>
  <c r="BC426" i="3" s="1"/>
  <c r="K446" i="3"/>
  <c r="M446" i="3" s="1"/>
  <c r="BC446" i="3" s="1"/>
  <c r="K458" i="3"/>
  <c r="M458" i="3" s="1"/>
  <c r="BC458" i="3" s="1"/>
  <c r="K470" i="3"/>
  <c r="M470" i="3" s="1"/>
  <c r="BC470" i="3" s="1"/>
  <c r="K263" i="3"/>
  <c r="M263" i="3" s="1"/>
  <c r="BC263" i="3" s="1"/>
  <c r="K346" i="3"/>
  <c r="M346" i="3" s="1"/>
  <c r="BC346" i="3" s="1"/>
  <c r="K413" i="3"/>
  <c r="M413" i="3" s="1"/>
  <c r="BC413" i="3" s="1"/>
  <c r="K193" i="3"/>
  <c r="M193" i="3" s="1"/>
  <c r="BC193" i="3" s="1"/>
  <c r="K315" i="3"/>
  <c r="M315" i="3" s="1"/>
  <c r="BC315" i="3" s="1"/>
  <c r="K433" i="3"/>
  <c r="M433" i="3" s="1"/>
  <c r="BC433" i="3" s="1"/>
  <c r="K225" i="3"/>
  <c r="M225" i="3" s="1"/>
  <c r="BC225" i="3" s="1"/>
  <c r="K233" i="3"/>
  <c r="M233" i="3" s="1"/>
  <c r="BC233" i="3" s="1"/>
  <c r="K237" i="3"/>
  <c r="M237" i="3" s="1"/>
  <c r="BC237" i="3" s="1"/>
  <c r="K241" i="3"/>
  <c r="M241" i="3" s="1"/>
  <c r="BC241" i="3" s="1"/>
  <c r="K260" i="3"/>
  <c r="M260" i="3" s="1"/>
  <c r="BC260" i="3" s="1"/>
  <c r="K378" i="3"/>
  <c r="M378" i="3" s="1"/>
  <c r="BC378" i="3" s="1"/>
  <c r="K406" i="3"/>
  <c r="M406" i="3" s="1"/>
  <c r="BC406" i="3" s="1"/>
  <c r="K489" i="3"/>
  <c r="M489" i="3" s="1"/>
  <c r="BC489" i="3" s="1"/>
  <c r="K389" i="3"/>
  <c r="M389" i="3" s="1"/>
  <c r="BC389" i="3" s="1"/>
  <c r="K189" i="3"/>
  <c r="M189" i="3" s="1"/>
  <c r="BC189" i="3" s="1"/>
  <c r="K23" i="3"/>
  <c r="M23" i="3" s="1"/>
  <c r="BC23" i="3" s="1"/>
  <c r="K43" i="3"/>
  <c r="M43" i="3" s="1"/>
  <c r="BC43" i="3" s="1"/>
  <c r="K47" i="3"/>
  <c r="M47" i="3" s="1"/>
  <c r="BC47" i="3" s="1"/>
  <c r="K51" i="3"/>
  <c r="M51" i="3" s="1"/>
  <c r="BC51" i="3" s="1"/>
  <c r="K75" i="3"/>
  <c r="M75" i="3" s="1"/>
  <c r="BC75" i="3" s="1"/>
  <c r="K87" i="3"/>
  <c r="M87" i="3" s="1"/>
  <c r="BC87" i="3" s="1"/>
  <c r="K91" i="3"/>
  <c r="M91" i="3" s="1"/>
  <c r="BC91" i="3" s="1"/>
  <c r="K99" i="3"/>
  <c r="M99" i="3" s="1"/>
  <c r="BC99" i="3" s="1"/>
  <c r="K146" i="3"/>
  <c r="M146" i="3" s="1"/>
  <c r="BC146" i="3" s="1"/>
  <c r="K170" i="3"/>
  <c r="M170" i="3" s="1"/>
  <c r="BC170" i="3" s="1"/>
  <c r="K174" i="3"/>
  <c r="M174" i="3" s="1"/>
  <c r="BC174" i="3" s="1"/>
  <c r="K280" i="3"/>
  <c r="M280" i="3" s="1"/>
  <c r="BC280" i="3" s="1"/>
  <c r="K296" i="3"/>
  <c r="M296" i="3" s="1"/>
  <c r="BC296" i="3" s="1"/>
  <c r="K316" i="3"/>
  <c r="M316" i="3" s="1"/>
  <c r="BC316" i="3" s="1"/>
  <c r="K328" i="3"/>
  <c r="M328" i="3" s="1"/>
  <c r="BC328" i="3" s="1"/>
  <c r="K387" i="3"/>
  <c r="M387" i="3" s="1"/>
  <c r="BC387" i="3" s="1"/>
  <c r="K395" i="3"/>
  <c r="M395" i="3" s="1"/>
  <c r="BC395" i="3" s="1"/>
  <c r="K462" i="3"/>
  <c r="M462" i="3" s="1"/>
  <c r="BC462" i="3" s="1"/>
  <c r="K486" i="3"/>
  <c r="M486" i="3" s="1"/>
  <c r="BC486" i="3" s="1"/>
  <c r="K494" i="3"/>
  <c r="M494" i="3" s="1"/>
  <c r="BC494" i="3" s="1"/>
  <c r="K49" i="3"/>
  <c r="M49" i="3" s="1"/>
  <c r="BC49" i="3" s="1"/>
  <c r="K93" i="3"/>
  <c r="M93" i="3" s="1"/>
  <c r="BC93" i="3" s="1"/>
  <c r="K330" i="3"/>
  <c r="M330" i="3" s="1"/>
  <c r="BC330" i="3" s="1"/>
  <c r="K342" i="3"/>
  <c r="M342" i="3" s="1"/>
  <c r="BC342" i="3" s="1"/>
  <c r="K385" i="3"/>
  <c r="M385" i="3" s="1"/>
  <c r="BC385" i="3" s="1"/>
  <c r="K484" i="3"/>
  <c r="M484" i="3" s="1"/>
  <c r="BC484" i="3" s="1"/>
  <c r="K220" i="3"/>
  <c r="M220" i="3" s="1"/>
  <c r="BC220" i="3" s="1"/>
  <c r="K350" i="3"/>
  <c r="M350" i="3" s="1"/>
  <c r="BC350" i="3" s="1"/>
  <c r="K287" i="3"/>
  <c r="M287" i="3" s="1"/>
  <c r="BC287" i="3" s="1"/>
  <c r="K311" i="3"/>
  <c r="M311" i="3" s="1"/>
  <c r="BC311" i="3" s="1"/>
  <c r="K437" i="3"/>
  <c r="M437" i="3" s="1"/>
  <c r="BC437" i="3" s="1"/>
  <c r="K441" i="3"/>
  <c r="M441" i="3" s="1"/>
  <c r="BC441" i="3" s="1"/>
  <c r="K139" i="3"/>
  <c r="M139" i="3" s="1"/>
  <c r="BC139" i="3" s="1"/>
  <c r="K167" i="3"/>
  <c r="M167" i="3" s="1"/>
  <c r="BC167" i="3" s="1"/>
  <c r="K171" i="3"/>
  <c r="M171" i="3" s="1"/>
  <c r="BC171" i="3" s="1"/>
  <c r="K187" i="3"/>
  <c r="M187" i="3" s="1"/>
  <c r="BC187" i="3" s="1"/>
  <c r="K206" i="3"/>
  <c r="M206" i="3" s="1"/>
  <c r="BC206" i="3" s="1"/>
  <c r="K238" i="3"/>
  <c r="M238" i="3" s="1"/>
  <c r="BC238" i="3" s="1"/>
  <c r="K261" i="3"/>
  <c r="M261" i="3" s="1"/>
  <c r="BC261" i="3" s="1"/>
  <c r="K273" i="3"/>
  <c r="M273" i="3" s="1"/>
  <c r="BC273" i="3" s="1"/>
  <c r="K313" i="3"/>
  <c r="M313" i="3" s="1"/>
  <c r="BC313" i="3" s="1"/>
  <c r="K356" i="3"/>
  <c r="M356" i="3" s="1"/>
  <c r="BC356" i="3" s="1"/>
  <c r="K411" i="3"/>
  <c r="M411" i="3" s="1"/>
  <c r="BC411" i="3" s="1"/>
  <c r="K423" i="3"/>
  <c r="M423" i="3" s="1"/>
  <c r="BC423" i="3" s="1"/>
  <c r="K427" i="3"/>
  <c r="M427" i="3" s="1"/>
  <c r="BC427" i="3" s="1"/>
  <c r="K439" i="3"/>
  <c r="M439" i="3" s="1"/>
  <c r="BC439" i="3" s="1"/>
  <c r="K443" i="3"/>
  <c r="M443" i="3" s="1"/>
  <c r="BC443" i="3" s="1"/>
  <c r="K455" i="3"/>
  <c r="M455" i="3" s="1"/>
  <c r="BC455" i="3" s="1"/>
  <c r="K471" i="3"/>
  <c r="M471" i="3" s="1"/>
  <c r="BC471" i="3" s="1"/>
  <c r="K483" i="3"/>
  <c r="M483" i="3" s="1"/>
  <c r="BC483" i="3" s="1"/>
  <c r="K491" i="3"/>
  <c r="M491" i="3" s="1"/>
  <c r="BC491" i="3" s="1"/>
  <c r="K21" i="3"/>
  <c r="M21" i="3" s="1"/>
  <c r="BC21" i="3" s="1"/>
  <c r="K405" i="3"/>
  <c r="M405" i="3" s="1"/>
  <c r="BC405" i="3" s="1"/>
  <c r="K240" i="3"/>
  <c r="M240" i="3" s="1"/>
  <c r="BC240" i="3" s="1"/>
  <c r="K32" i="3"/>
  <c r="M32" i="3" s="1"/>
  <c r="BC32" i="3" s="1"/>
  <c r="K48" i="3"/>
  <c r="M48" i="3" s="1"/>
  <c r="BC48" i="3" s="1"/>
  <c r="K56" i="3"/>
  <c r="M56" i="3" s="1"/>
  <c r="BC56" i="3" s="1"/>
  <c r="K60" i="3"/>
  <c r="M60" i="3" s="1"/>
  <c r="BC60" i="3" s="1"/>
  <c r="K72" i="3"/>
  <c r="M72" i="3" s="1"/>
  <c r="BC72" i="3" s="1"/>
  <c r="K96" i="3"/>
  <c r="M96" i="3" s="1"/>
  <c r="BC96" i="3" s="1"/>
  <c r="K100" i="3"/>
  <c r="M100" i="3" s="1"/>
  <c r="BC100" i="3" s="1"/>
  <c r="K112" i="3"/>
  <c r="M112" i="3" s="1"/>
  <c r="BC112" i="3" s="1"/>
  <c r="K116" i="3"/>
  <c r="M116" i="3" s="1"/>
  <c r="BC116" i="3" s="1"/>
  <c r="K124" i="3"/>
  <c r="M124" i="3" s="1"/>
  <c r="BC124" i="3" s="1"/>
  <c r="K128" i="3"/>
  <c r="M128" i="3" s="1"/>
  <c r="BC128" i="3" s="1"/>
  <c r="K203" i="3"/>
  <c r="M203" i="3" s="1"/>
  <c r="BC203" i="3" s="1"/>
  <c r="K215" i="3"/>
  <c r="M215" i="3" s="1"/>
  <c r="BC215" i="3" s="1"/>
  <c r="K243" i="3"/>
  <c r="M243" i="3" s="1"/>
  <c r="BC243" i="3" s="1"/>
  <c r="K250" i="3"/>
  <c r="M250" i="3" s="1"/>
  <c r="BC250" i="3" s="1"/>
  <c r="K254" i="3"/>
  <c r="M254" i="3" s="1"/>
  <c r="BC254" i="3" s="1"/>
  <c r="K266" i="3"/>
  <c r="M266" i="3" s="1"/>
  <c r="BC266" i="3" s="1"/>
  <c r="K337" i="3"/>
  <c r="M337" i="3" s="1"/>
  <c r="BC337" i="3" s="1"/>
  <c r="K376" i="3"/>
  <c r="M376" i="3" s="1"/>
  <c r="BC376" i="3" s="1"/>
  <c r="K392" i="3"/>
  <c r="M392" i="3" s="1"/>
  <c r="BC392" i="3" s="1"/>
  <c r="K45" i="3"/>
  <c r="M45" i="3" s="1"/>
  <c r="BC45" i="3" s="1"/>
  <c r="K152" i="3"/>
  <c r="M152" i="3" s="1"/>
  <c r="BC152" i="3" s="1"/>
  <c r="K176" i="3"/>
  <c r="M176" i="3" s="1"/>
  <c r="BC176" i="3" s="1"/>
  <c r="K180" i="3"/>
  <c r="M180" i="3" s="1"/>
  <c r="BC180" i="3" s="1"/>
  <c r="K184" i="3"/>
  <c r="M184" i="3" s="1"/>
  <c r="BC184" i="3" s="1"/>
  <c r="K274" i="3"/>
  <c r="M274" i="3" s="1"/>
  <c r="BC274" i="3" s="1"/>
  <c r="K282" i="3"/>
  <c r="M282" i="3" s="1"/>
  <c r="BC282" i="3" s="1"/>
  <c r="K290" i="3"/>
  <c r="M290" i="3" s="1"/>
  <c r="BC290" i="3" s="1"/>
  <c r="K294" i="3"/>
  <c r="M294" i="3" s="1"/>
  <c r="BC294" i="3" s="1"/>
  <c r="K440" i="3"/>
  <c r="M440" i="3" s="1"/>
  <c r="BC440" i="3" s="1"/>
  <c r="K452" i="3"/>
  <c r="M452" i="3" s="1"/>
  <c r="BC452" i="3" s="1"/>
  <c r="K460" i="3"/>
  <c r="M460" i="3" s="1"/>
  <c r="BC460" i="3" s="1"/>
  <c r="K59" i="3"/>
  <c r="M59" i="3" s="1"/>
  <c r="BC59" i="3" s="1"/>
  <c r="K65" i="3"/>
  <c r="M65" i="3" s="1"/>
  <c r="BC65" i="3" s="1"/>
  <c r="K148" i="3"/>
  <c r="M148" i="3" s="1"/>
  <c r="BC148" i="3" s="1"/>
  <c r="K160" i="3"/>
  <c r="M160" i="3" s="1"/>
  <c r="BC160" i="3" s="1"/>
  <c r="K163" i="3"/>
  <c r="M163" i="3" s="1"/>
  <c r="BC163" i="3" s="1"/>
  <c r="K169" i="3"/>
  <c r="M169" i="3" s="1"/>
  <c r="BC169" i="3" s="1"/>
  <c r="K195" i="3"/>
  <c r="M195" i="3" s="1"/>
  <c r="BC195" i="3" s="1"/>
  <c r="K242" i="3"/>
  <c r="M242" i="3" s="1"/>
  <c r="BC242" i="3" s="1"/>
  <c r="K245" i="3"/>
  <c r="M245" i="3" s="1"/>
  <c r="BC245" i="3" s="1"/>
  <c r="K253" i="3"/>
  <c r="M253" i="3" s="1"/>
  <c r="BC253" i="3" s="1"/>
  <c r="K303" i="3"/>
  <c r="M303" i="3" s="1"/>
  <c r="BC303" i="3" s="1"/>
  <c r="K309" i="3"/>
  <c r="M309" i="3" s="1"/>
  <c r="BC309" i="3" s="1"/>
  <c r="K326" i="3"/>
  <c r="M326" i="3" s="1"/>
  <c r="BC326" i="3" s="1"/>
  <c r="K332" i="3"/>
  <c r="M332" i="3" s="1"/>
  <c r="BC332" i="3" s="1"/>
  <c r="K335" i="3"/>
  <c r="M335" i="3" s="1"/>
  <c r="BC335" i="3" s="1"/>
  <c r="K355" i="3"/>
  <c r="M355" i="3" s="1"/>
  <c r="BC355" i="3" s="1"/>
  <c r="K393" i="3"/>
  <c r="M393" i="3" s="1"/>
  <c r="BC393" i="3" s="1"/>
  <c r="K402" i="3"/>
  <c r="M402" i="3" s="1"/>
  <c r="BC402" i="3" s="1"/>
  <c r="K68" i="3"/>
  <c r="M68" i="3" s="1"/>
  <c r="BC68" i="3" s="1"/>
  <c r="K71" i="3"/>
  <c r="M71" i="3" s="1"/>
  <c r="BC71" i="3" s="1"/>
  <c r="K77" i="3"/>
  <c r="M77" i="3" s="1"/>
  <c r="BC77" i="3" s="1"/>
  <c r="K83" i="3"/>
  <c r="M83" i="3" s="1"/>
  <c r="BC83" i="3" s="1"/>
  <c r="K92" i="3"/>
  <c r="M92" i="3" s="1"/>
  <c r="BC92" i="3" s="1"/>
  <c r="K95" i="3"/>
  <c r="M95" i="3" s="1"/>
  <c r="BC95" i="3" s="1"/>
  <c r="K104" i="3"/>
  <c r="M104" i="3" s="1"/>
  <c r="BC104" i="3" s="1"/>
  <c r="K172" i="3"/>
  <c r="M172" i="3" s="1"/>
  <c r="BC172" i="3" s="1"/>
  <c r="K175" i="3"/>
  <c r="M175" i="3" s="1"/>
  <c r="BC175" i="3" s="1"/>
  <c r="K204" i="3"/>
  <c r="M204" i="3" s="1"/>
  <c r="BC204" i="3" s="1"/>
  <c r="K213" i="3"/>
  <c r="M213" i="3" s="1"/>
  <c r="BC213" i="3" s="1"/>
  <c r="K216" i="3"/>
  <c r="M216" i="3" s="1"/>
  <c r="BC216" i="3" s="1"/>
  <c r="K271" i="3"/>
  <c r="M271" i="3" s="1"/>
  <c r="BC271" i="3" s="1"/>
  <c r="K379" i="3"/>
  <c r="M379" i="3" s="1"/>
  <c r="BC379" i="3" s="1"/>
  <c r="K490" i="3"/>
  <c r="M490" i="3" s="1"/>
  <c r="BC490" i="3" s="1"/>
  <c r="K33" i="3"/>
  <c r="M33" i="3" s="1"/>
  <c r="BC33" i="3" s="1"/>
  <c r="K39" i="3"/>
  <c r="M39" i="3" s="1"/>
  <c r="BC39" i="3" s="1"/>
  <c r="K298" i="3"/>
  <c r="M298" i="3" s="1"/>
  <c r="BC298" i="3" s="1"/>
  <c r="K347" i="3"/>
  <c r="M347" i="3" s="1"/>
  <c r="BC347" i="3" s="1"/>
  <c r="K414" i="3"/>
  <c r="M414" i="3" s="1"/>
  <c r="BC414" i="3" s="1"/>
  <c r="K473" i="3"/>
  <c r="M473" i="3" s="1"/>
  <c r="BC473" i="3" s="1"/>
  <c r="K111" i="3"/>
  <c r="M111" i="3" s="1"/>
  <c r="BC111" i="3" s="1"/>
  <c r="K120" i="3"/>
  <c r="M120" i="3" s="1"/>
  <c r="BC120" i="3" s="1"/>
  <c r="K129" i="3"/>
  <c r="M129" i="3" s="1"/>
  <c r="BC129" i="3" s="1"/>
  <c r="K132" i="3"/>
  <c r="M132" i="3" s="1"/>
  <c r="BC132" i="3" s="1"/>
  <c r="K135" i="3"/>
  <c r="M135" i="3" s="1"/>
  <c r="BC135" i="3" s="1"/>
  <c r="K182" i="3"/>
  <c r="M182" i="3" s="1"/>
  <c r="BC182" i="3" s="1"/>
  <c r="K188" i="3"/>
  <c r="M188" i="3" s="1"/>
  <c r="BC188" i="3" s="1"/>
  <c r="K275" i="3"/>
  <c r="M275" i="3" s="1"/>
  <c r="BC275" i="3" s="1"/>
  <c r="K278" i="3"/>
  <c r="M278" i="3" s="1"/>
  <c r="BC278" i="3" s="1"/>
  <c r="K284" i="3"/>
  <c r="M284" i="3" s="1"/>
  <c r="BC284" i="3" s="1"/>
  <c r="K444" i="3"/>
  <c r="M444" i="3" s="1"/>
  <c r="BC444" i="3" s="1"/>
  <c r="K459" i="3"/>
  <c r="M459" i="3" s="1"/>
  <c r="BC459" i="3" s="1"/>
  <c r="K465" i="3"/>
  <c r="M465" i="3" s="1"/>
  <c r="BC465" i="3" s="1"/>
  <c r="K7" i="3"/>
  <c r="M7" i="3" s="1"/>
  <c r="BC7" i="3" s="1"/>
  <c r="K14" i="3"/>
  <c r="M14" i="3" s="1"/>
  <c r="BC14" i="3" s="1"/>
  <c r="K17" i="3"/>
  <c r="M17" i="3" s="1"/>
  <c r="BC17" i="3" s="1"/>
  <c r="K6" i="3"/>
  <c r="M6" i="3" s="1"/>
  <c r="BC6" i="3" s="1"/>
  <c r="K12" i="3"/>
  <c r="M12" i="3" s="1"/>
  <c r="BC12" i="3" s="1"/>
  <c r="K15" i="3"/>
  <c r="M15" i="3" s="1"/>
  <c r="BC15" i="3" s="1"/>
  <c r="K34" i="3"/>
  <c r="M34" i="3" s="1"/>
  <c r="BC34" i="3" s="1"/>
  <c r="K37" i="3"/>
  <c r="M37" i="3" s="1"/>
  <c r="BC37" i="3" s="1"/>
  <c r="K108" i="3"/>
  <c r="M108" i="3" s="1"/>
  <c r="BC108" i="3" s="1"/>
  <c r="K178" i="3"/>
  <c r="M178" i="3" s="1"/>
  <c r="BC178" i="3" s="1"/>
  <c r="K267" i="3"/>
  <c r="M267" i="3" s="1"/>
  <c r="BC267" i="3" s="1"/>
  <c r="K270" i="3"/>
  <c r="M270" i="3" s="1"/>
  <c r="BC270" i="3" s="1"/>
  <c r="K429" i="3"/>
  <c r="M429" i="3" s="1"/>
  <c r="BC429" i="3" s="1"/>
  <c r="K20" i="3"/>
  <c r="M20" i="3" s="1"/>
  <c r="BC20" i="3" s="1"/>
  <c r="K103" i="3"/>
  <c r="M103" i="3" s="1"/>
  <c r="BC103" i="3" s="1"/>
  <c r="K259" i="3"/>
  <c r="M259" i="3" s="1"/>
  <c r="BC259" i="3" s="1"/>
  <c r="K288" i="3"/>
  <c r="M288" i="3" s="1"/>
  <c r="BC288" i="3" s="1"/>
  <c r="K314" i="3"/>
  <c r="M314" i="3" s="1"/>
  <c r="BC314" i="3" s="1"/>
  <c r="K144" i="3"/>
  <c r="M144" i="3" s="1"/>
  <c r="BC144" i="3" s="1"/>
  <c r="K234" i="3"/>
  <c r="M234" i="3" s="1"/>
  <c r="BC234" i="3" s="1"/>
  <c r="K62" i="3"/>
  <c r="M62" i="3" s="1"/>
  <c r="BC62" i="3" s="1"/>
  <c r="K168" i="3"/>
  <c r="M168" i="3" s="1"/>
  <c r="BC168" i="3" s="1"/>
  <c r="K341" i="3"/>
  <c r="M341" i="3" s="1"/>
  <c r="BC341" i="3" s="1"/>
  <c r="K134" i="3"/>
  <c r="M134" i="3" s="1"/>
  <c r="BC134" i="3" s="1"/>
  <c r="K244" i="3"/>
  <c r="M244" i="3" s="1"/>
  <c r="BC244" i="3" s="1"/>
  <c r="K333" i="3"/>
  <c r="M333" i="3" s="1"/>
  <c r="BC333" i="3" s="1"/>
  <c r="K212" i="3"/>
  <c r="M212" i="3" s="1"/>
  <c r="BC212" i="3" s="1"/>
  <c r="K191" i="3"/>
  <c r="M191" i="3" s="1"/>
  <c r="BC191" i="3" s="1"/>
  <c r="K262" i="3"/>
  <c r="M262" i="3" s="1"/>
  <c r="BC262" i="3" s="1"/>
  <c r="K291" i="3"/>
  <c r="M291" i="3" s="1"/>
  <c r="BC291" i="3" s="1"/>
  <c r="K349" i="3"/>
  <c r="M349" i="3" s="1"/>
  <c r="BC349" i="3" s="1"/>
  <c r="K388" i="3"/>
  <c r="M388" i="3" s="1"/>
  <c r="BC388" i="3" s="1"/>
  <c r="K416" i="3"/>
  <c r="M416" i="3" s="1"/>
  <c r="BC416" i="3" s="1"/>
  <c r="K472" i="3"/>
  <c r="M472" i="3" s="1"/>
  <c r="BC472" i="3" s="1"/>
  <c r="K477" i="3"/>
  <c r="M477" i="3" s="1"/>
  <c r="BC477" i="3" s="1"/>
  <c r="K18" i="3"/>
  <c r="M18" i="3" s="1"/>
  <c r="BC18" i="3" s="1"/>
  <c r="K29" i="3"/>
  <c r="M29" i="3" s="1"/>
  <c r="BC29" i="3" s="1"/>
  <c r="K35" i="3"/>
  <c r="M35" i="3" s="1"/>
  <c r="BC35" i="3" s="1"/>
  <c r="K90" i="3"/>
  <c r="M90" i="3" s="1"/>
  <c r="BC90" i="3" s="1"/>
  <c r="K98" i="3"/>
  <c r="M98" i="3" s="1"/>
  <c r="BC98" i="3" s="1"/>
  <c r="K101" i="3"/>
  <c r="M101" i="3" s="1"/>
  <c r="BC101" i="3" s="1"/>
  <c r="K119" i="3"/>
  <c r="M119" i="3" s="1"/>
  <c r="BC119" i="3" s="1"/>
  <c r="K122" i="3"/>
  <c r="M122" i="3" s="1"/>
  <c r="BC122" i="3" s="1"/>
  <c r="K166" i="3"/>
  <c r="M166" i="3" s="1"/>
  <c r="BC166" i="3" s="1"/>
  <c r="K194" i="3"/>
  <c r="M194" i="3" s="1"/>
  <c r="BC194" i="3" s="1"/>
  <c r="K202" i="3"/>
  <c r="M202" i="3" s="1"/>
  <c r="BC202" i="3" s="1"/>
  <c r="K207" i="3"/>
  <c r="M207" i="3" s="1"/>
  <c r="BC207" i="3" s="1"/>
  <c r="K227" i="3"/>
  <c r="M227" i="3" s="1"/>
  <c r="BC227" i="3" s="1"/>
  <c r="K232" i="3"/>
  <c r="M232" i="3" s="1"/>
  <c r="BC232" i="3" s="1"/>
  <c r="K265" i="3"/>
  <c r="M265" i="3" s="1"/>
  <c r="BC265" i="3" s="1"/>
  <c r="K286" i="3"/>
  <c r="M286" i="3" s="1"/>
  <c r="BC286" i="3" s="1"/>
  <c r="K297" i="3"/>
  <c r="M297" i="3" s="1"/>
  <c r="BC297" i="3" s="1"/>
  <c r="K302" i="3"/>
  <c r="M302" i="3" s="1"/>
  <c r="BC302" i="3" s="1"/>
  <c r="K312" i="3"/>
  <c r="M312" i="3" s="1"/>
  <c r="BC312" i="3" s="1"/>
  <c r="K354" i="3"/>
  <c r="M354" i="3" s="1"/>
  <c r="BC354" i="3" s="1"/>
  <c r="K364" i="3"/>
  <c r="M364" i="3" s="1"/>
  <c r="BC364" i="3" s="1"/>
  <c r="K367" i="3"/>
  <c r="M367" i="3" s="1"/>
  <c r="BC367" i="3" s="1"/>
  <c r="K372" i="3"/>
  <c r="M372" i="3" s="1"/>
  <c r="BC372" i="3" s="1"/>
  <c r="K375" i="3"/>
  <c r="M375" i="3" s="1"/>
  <c r="BC375" i="3" s="1"/>
  <c r="K383" i="3"/>
  <c r="M383" i="3" s="1"/>
  <c r="BC383" i="3" s="1"/>
  <c r="K386" i="3"/>
  <c r="M386" i="3" s="1"/>
  <c r="BC386" i="3" s="1"/>
  <c r="K391" i="3"/>
  <c r="M391" i="3" s="1"/>
  <c r="BC391" i="3" s="1"/>
  <c r="K412" i="3"/>
  <c r="M412" i="3" s="1"/>
  <c r="BC412" i="3" s="1"/>
  <c r="K435" i="3"/>
  <c r="M435" i="3" s="1"/>
  <c r="BC435" i="3" s="1"/>
  <c r="K467" i="3"/>
  <c r="M467" i="3" s="1"/>
  <c r="BC467" i="3" s="1"/>
  <c r="K475" i="3"/>
  <c r="M475" i="3" s="1"/>
  <c r="BC475" i="3" s="1"/>
  <c r="K196" i="3"/>
  <c r="M196" i="3" s="1"/>
  <c r="BC196" i="3" s="1"/>
  <c r="K445" i="3"/>
  <c r="M445" i="3" s="1"/>
  <c r="BC445" i="3" s="1"/>
  <c r="K38" i="3"/>
  <c r="M38" i="3" s="1"/>
  <c r="BC38" i="3" s="1"/>
  <c r="K63" i="3"/>
  <c r="M63" i="3" s="1"/>
  <c r="BC63" i="3" s="1"/>
  <c r="K76" i="3"/>
  <c r="M76" i="3" s="1"/>
  <c r="BC76" i="3" s="1"/>
  <c r="K79" i="3"/>
  <c r="M79" i="3" s="1"/>
  <c r="BC79" i="3" s="1"/>
  <c r="K82" i="3"/>
  <c r="M82" i="3" s="1"/>
  <c r="BC82" i="3" s="1"/>
  <c r="K179" i="3"/>
  <c r="M179" i="3" s="1"/>
  <c r="BC179" i="3" s="1"/>
  <c r="K235" i="3"/>
  <c r="M235" i="3" s="1"/>
  <c r="BC235" i="3" s="1"/>
  <c r="K281" i="3"/>
  <c r="M281" i="3" s="1"/>
  <c r="BC281" i="3" s="1"/>
  <c r="K323" i="3"/>
  <c r="M323" i="3" s="1"/>
  <c r="BC323" i="3" s="1"/>
  <c r="K334" i="3"/>
  <c r="M334" i="3" s="1"/>
  <c r="BC334" i="3" s="1"/>
  <c r="K362" i="3"/>
  <c r="M362" i="3" s="1"/>
  <c r="BC362" i="3" s="1"/>
  <c r="K425" i="3"/>
  <c r="M425" i="3" s="1"/>
  <c r="BC425" i="3" s="1"/>
  <c r="K438" i="3"/>
  <c r="M438" i="3" s="1"/>
  <c r="BC438" i="3" s="1"/>
  <c r="K454" i="3"/>
  <c r="M454" i="3" s="1"/>
  <c r="BC454" i="3" s="1"/>
  <c r="K457" i="3"/>
  <c r="M457" i="3" s="1"/>
  <c r="BC457" i="3" s="1"/>
  <c r="K351" i="3"/>
  <c r="M351" i="3" s="1"/>
  <c r="BC351" i="3" s="1"/>
  <c r="K424" i="3"/>
  <c r="M424" i="3" s="1"/>
  <c r="BC424" i="3" s="1"/>
  <c r="K461" i="3"/>
  <c r="M461" i="3" s="1"/>
  <c r="BC461" i="3" s="1"/>
  <c r="K13" i="3"/>
  <c r="M13" i="3" s="1"/>
  <c r="BC13" i="3" s="1"/>
  <c r="K16" i="3"/>
  <c r="M16" i="3" s="1"/>
  <c r="BC16" i="3" s="1"/>
  <c r="K24" i="3"/>
  <c r="M24" i="3" s="1"/>
  <c r="K27" i="3"/>
  <c r="M27" i="3" s="1"/>
  <c r="BC27" i="3" s="1"/>
  <c r="K88" i="3"/>
  <c r="M88" i="3" s="1"/>
  <c r="BC88" i="3" s="1"/>
  <c r="K117" i="3"/>
  <c r="M117" i="3" s="1"/>
  <c r="BC117" i="3" s="1"/>
  <c r="K138" i="3"/>
  <c r="M138" i="3" s="1"/>
  <c r="BC138" i="3" s="1"/>
  <c r="K164" i="3"/>
  <c r="M164" i="3" s="1"/>
  <c r="BC164" i="3" s="1"/>
  <c r="K192" i="3"/>
  <c r="M192" i="3" s="1"/>
  <c r="BC192" i="3" s="1"/>
  <c r="K255" i="3"/>
  <c r="M255" i="3" s="1"/>
  <c r="BC255" i="3" s="1"/>
  <c r="K279" i="3"/>
  <c r="M279" i="3" s="1"/>
  <c r="BC279" i="3" s="1"/>
  <c r="K292" i="3"/>
  <c r="M292" i="3" s="1"/>
  <c r="BC292" i="3" s="1"/>
  <c r="K308" i="3"/>
  <c r="M308" i="3" s="1"/>
  <c r="BC308" i="3" s="1"/>
  <c r="K345" i="3"/>
  <c r="M345" i="3" s="1"/>
  <c r="BC345" i="3" s="1"/>
  <c r="K360" i="3"/>
  <c r="M360" i="3" s="1"/>
  <c r="BC360" i="3" s="1"/>
  <c r="K365" i="3"/>
  <c r="M365" i="3" s="1"/>
  <c r="BC365" i="3" s="1"/>
  <c r="K373" i="3"/>
  <c r="M373" i="3" s="1"/>
  <c r="BC373" i="3" s="1"/>
  <c r="K384" i="3"/>
  <c r="M384" i="3" s="1"/>
  <c r="BC384" i="3" s="1"/>
  <c r="K399" i="3"/>
  <c r="M399" i="3" s="1"/>
  <c r="BC399" i="3" s="1"/>
  <c r="K407" i="3"/>
  <c r="M407" i="3" s="1"/>
  <c r="BC407" i="3" s="1"/>
  <c r="K410" i="3"/>
  <c r="M410" i="3" s="1"/>
  <c r="BC410" i="3" s="1"/>
  <c r="K417" i="3"/>
  <c r="M417" i="3" s="1"/>
  <c r="BC417" i="3" s="1"/>
  <c r="K449" i="3"/>
  <c r="M449" i="3" s="1"/>
  <c r="BC449" i="3" s="1"/>
  <c r="K478" i="3"/>
  <c r="M478" i="3" s="1"/>
  <c r="BC478" i="3" s="1"/>
  <c r="K481" i="3"/>
  <c r="M481" i="3" s="1"/>
  <c r="BC481" i="3" s="1"/>
  <c r="K495" i="3"/>
  <c r="M495" i="3" s="1"/>
  <c r="BC495" i="3" s="1"/>
  <c r="K498" i="3"/>
  <c r="M498" i="3" s="1"/>
  <c r="BC498" i="3" s="1"/>
  <c r="K84" i="3"/>
  <c r="M84" i="3" s="1"/>
  <c r="BC84" i="3" s="1"/>
  <c r="K154" i="3"/>
  <c r="M154" i="3" s="1"/>
  <c r="BC154" i="3" s="1"/>
  <c r="K26" i="3"/>
  <c r="M26" i="3" s="1"/>
  <c r="BC26" i="3" s="1"/>
  <c r="K36" i="3"/>
  <c r="M36" i="3" s="1"/>
  <c r="BC36" i="3" s="1"/>
  <c r="K74" i="3"/>
  <c r="M74" i="3" s="1"/>
  <c r="BC74" i="3" s="1"/>
  <c r="K143" i="3"/>
  <c r="M143" i="3" s="1"/>
  <c r="BC143" i="3" s="1"/>
  <c r="K318" i="3"/>
  <c r="M318" i="3" s="1"/>
  <c r="BC318" i="3" s="1"/>
  <c r="K22" i="3"/>
  <c r="M22" i="3" s="1"/>
  <c r="BC22" i="3" s="1"/>
  <c r="K25" i="3"/>
  <c r="M25" i="3" s="1"/>
  <c r="K42" i="3"/>
  <c r="M42" i="3" s="1"/>
  <c r="BC42" i="3" s="1"/>
  <c r="K50" i="3"/>
  <c r="M50" i="3" s="1"/>
  <c r="BC50" i="3" s="1"/>
  <c r="K53" i="3"/>
  <c r="M53" i="3" s="1"/>
  <c r="BC53" i="3" s="1"/>
  <c r="K80" i="3"/>
  <c r="M80" i="3" s="1"/>
  <c r="BC80" i="3" s="1"/>
  <c r="K86" i="3"/>
  <c r="M86" i="3" s="1"/>
  <c r="BC86" i="3" s="1"/>
  <c r="K123" i="3"/>
  <c r="M123" i="3" s="1"/>
  <c r="BC123" i="3" s="1"/>
  <c r="K141" i="3"/>
  <c r="M141" i="3" s="1"/>
  <c r="BC141" i="3" s="1"/>
  <c r="K151" i="3"/>
  <c r="M151" i="3" s="1"/>
  <c r="BC151" i="3" s="1"/>
  <c r="K156" i="3"/>
  <c r="M156" i="3" s="1"/>
  <c r="BC156" i="3" s="1"/>
  <c r="K159" i="3"/>
  <c r="M159" i="3" s="1"/>
  <c r="BC159" i="3" s="1"/>
  <c r="K162" i="3"/>
  <c r="M162" i="3" s="1"/>
  <c r="BC162" i="3" s="1"/>
  <c r="K190" i="3"/>
  <c r="M190" i="3" s="1"/>
  <c r="BC190" i="3" s="1"/>
  <c r="K214" i="3"/>
  <c r="M214" i="3" s="1"/>
  <c r="BC214" i="3" s="1"/>
  <c r="K217" i="3"/>
  <c r="M217" i="3" s="1"/>
  <c r="BC217" i="3" s="1"/>
  <c r="K246" i="3"/>
  <c r="M246" i="3" s="1"/>
  <c r="BC246" i="3" s="1"/>
  <c r="K306" i="3"/>
  <c r="M306" i="3" s="1"/>
  <c r="BC306" i="3" s="1"/>
  <c r="K321" i="3"/>
  <c r="M321" i="3" s="1"/>
  <c r="BC321" i="3" s="1"/>
  <c r="K324" i="3"/>
  <c r="M324" i="3" s="1"/>
  <c r="BC324" i="3" s="1"/>
  <c r="K327" i="3"/>
  <c r="M327" i="3" s="1"/>
  <c r="BC327" i="3" s="1"/>
  <c r="K363" i="3"/>
  <c r="M363" i="3" s="1"/>
  <c r="BC363" i="3" s="1"/>
  <c r="K415" i="3"/>
  <c r="M415" i="3" s="1"/>
  <c r="BC415" i="3" s="1"/>
  <c r="K418" i="3"/>
  <c r="M418" i="3" s="1"/>
  <c r="BC418" i="3" s="1"/>
  <c r="K442" i="3"/>
  <c r="M442" i="3" s="1"/>
  <c r="BC442" i="3" s="1"/>
  <c r="K466" i="3"/>
  <c r="M466" i="3" s="1"/>
  <c r="BC466" i="3" s="1"/>
  <c r="K493" i="3"/>
  <c r="M493" i="3" s="1"/>
  <c r="BC493" i="3" s="1"/>
  <c r="K173" i="3"/>
  <c r="M173" i="3" s="1"/>
  <c r="BC173" i="3" s="1"/>
  <c r="K183" i="3"/>
  <c r="M183" i="3" s="1"/>
  <c r="BC183" i="3" s="1"/>
  <c r="K304" i="3"/>
  <c r="M304" i="3" s="1"/>
  <c r="BC304" i="3" s="1"/>
  <c r="K380" i="3"/>
  <c r="M380" i="3" s="1"/>
  <c r="BC380" i="3" s="1"/>
  <c r="K453" i="3"/>
  <c r="M453" i="3" s="1"/>
  <c r="BC453" i="3" s="1"/>
  <c r="K19" i="3"/>
  <c r="M19" i="3" s="1"/>
  <c r="BC19" i="3" s="1"/>
  <c r="K107" i="3"/>
  <c r="M107" i="3" s="1"/>
  <c r="BC107" i="3" s="1"/>
  <c r="M5" i="3"/>
  <c r="BC5" i="3" s="1"/>
  <c r="K8" i="3"/>
  <c r="M8" i="3" s="1"/>
  <c r="BC8" i="3" s="1"/>
  <c r="K11" i="3"/>
  <c r="M11" i="3" s="1"/>
  <c r="BC11" i="3" s="1"/>
  <c r="K28" i="3"/>
  <c r="M28" i="3" s="1"/>
  <c r="BC28" i="3" s="1"/>
  <c r="K89" i="3"/>
  <c r="M89" i="3" s="1"/>
  <c r="BC89" i="3" s="1"/>
  <c r="K97" i="3"/>
  <c r="M97" i="3" s="1"/>
  <c r="BC97" i="3" s="1"/>
  <c r="K113" i="3"/>
  <c r="M113" i="3" s="1"/>
  <c r="BC113" i="3" s="1"/>
  <c r="K136" i="3"/>
  <c r="M136" i="3" s="1"/>
  <c r="BC136" i="3" s="1"/>
  <c r="K185" i="3"/>
  <c r="M185" i="3" s="1"/>
  <c r="BC185" i="3" s="1"/>
  <c r="K231" i="3"/>
  <c r="M231" i="3" s="1"/>
  <c r="BC231" i="3" s="1"/>
  <c r="K256" i="3"/>
  <c r="M256" i="3" s="1"/>
  <c r="BC256" i="3" s="1"/>
  <c r="K264" i="3"/>
  <c r="M264" i="3" s="1"/>
  <c r="BC264" i="3" s="1"/>
  <c r="K338" i="3"/>
  <c r="M338" i="3" s="1"/>
  <c r="BC338" i="3" s="1"/>
  <c r="K358" i="3"/>
  <c r="M358" i="3" s="1"/>
  <c r="BC358" i="3" s="1"/>
  <c r="K366" i="3"/>
  <c r="M366" i="3" s="1"/>
  <c r="BC366" i="3" s="1"/>
  <c r="K371" i="3"/>
  <c r="M371" i="3" s="1"/>
  <c r="BC371" i="3" s="1"/>
  <c r="K374" i="3"/>
  <c r="M374" i="3" s="1"/>
  <c r="BC374" i="3" s="1"/>
  <c r="K382" i="3"/>
  <c r="M382" i="3" s="1"/>
  <c r="BC382" i="3" s="1"/>
  <c r="K408" i="3"/>
  <c r="M408" i="3" s="1"/>
  <c r="BC408" i="3" s="1"/>
  <c r="K434" i="3"/>
  <c r="M434" i="3" s="1"/>
  <c r="BC434" i="3" s="1"/>
  <c r="K450" i="3"/>
  <c r="M450" i="3" s="1"/>
  <c r="BC450" i="3" s="1"/>
  <c r="K469" i="3"/>
  <c r="M469" i="3" s="1"/>
  <c r="BC469" i="3" s="1"/>
  <c r="K482" i="3"/>
  <c r="M482" i="3" s="1"/>
  <c r="BC482" i="3" s="1"/>
  <c r="K485" i="3"/>
  <c r="M485" i="3" s="1"/>
  <c r="BC485" i="3" s="1"/>
  <c r="K488" i="3"/>
  <c r="M488" i="3" s="1"/>
  <c r="BC488" i="3" s="1"/>
  <c r="K496" i="3"/>
  <c r="M496" i="3" s="1"/>
  <c r="BC496" i="3" s="1"/>
  <c r="K377" i="3"/>
  <c r="M377" i="3" s="1"/>
  <c r="BC377" i="3" s="1"/>
  <c r="K390" i="3"/>
  <c r="M390" i="3" s="1"/>
  <c r="BC390" i="3" s="1"/>
  <c r="K421" i="3"/>
  <c r="M421" i="3" s="1"/>
  <c r="BC421" i="3" s="1"/>
  <c r="K499" i="3"/>
  <c r="M499" i="3" s="1"/>
  <c r="BC499" i="3" s="1"/>
  <c r="K31" i="3"/>
  <c r="M31" i="3" s="1"/>
  <c r="BC31" i="3" s="1"/>
  <c r="K210" i="3"/>
  <c r="M210" i="3" s="1"/>
  <c r="BC210" i="3" s="1"/>
  <c r="K447" i="3"/>
  <c r="M447" i="3" s="1"/>
  <c r="BC447" i="3" s="1"/>
  <c r="K55" i="3"/>
  <c r="M55" i="3" s="1"/>
  <c r="BC55" i="3" s="1"/>
  <c r="K221" i="3"/>
  <c r="M221" i="3" s="1"/>
  <c r="BC221" i="3" s="1"/>
  <c r="K229" i="3"/>
  <c r="M229" i="3" s="1"/>
  <c r="BC229" i="3" s="1"/>
  <c r="K343" i="3"/>
  <c r="M343" i="3" s="1"/>
  <c r="BC343" i="3" s="1"/>
  <c r="K487" i="3"/>
  <c r="M487" i="3" s="1"/>
  <c r="BC487" i="3" s="1"/>
  <c r="K464" i="3"/>
  <c r="M464" i="3" s="1"/>
  <c r="BC464" i="3" s="1"/>
  <c r="K46" i="3"/>
  <c r="M46" i="3" s="1"/>
  <c r="BC46" i="3" s="1"/>
  <c r="K70" i="3"/>
  <c r="M70" i="3" s="1"/>
  <c r="BC70" i="3" s="1"/>
  <c r="K94" i="3"/>
  <c r="M94" i="3" s="1"/>
  <c r="BC94" i="3" s="1"/>
  <c r="K186" i="3"/>
  <c r="M186" i="3" s="1"/>
  <c r="BC186" i="3" s="1"/>
  <c r="K208" i="3"/>
  <c r="M208" i="3" s="1"/>
  <c r="BC208" i="3" s="1"/>
  <c r="K102" i="3"/>
  <c r="M102" i="3" s="1"/>
  <c r="BC102" i="3" s="1"/>
  <c r="K165" i="3"/>
  <c r="M165" i="3" s="1"/>
  <c r="BC165" i="3" s="1"/>
  <c r="K211" i="3"/>
  <c r="M211" i="3" s="1"/>
  <c r="BC211" i="3" s="1"/>
  <c r="K400" i="3"/>
  <c r="M400" i="3" s="1"/>
  <c r="BC400" i="3" s="1"/>
  <c r="C47" i="2"/>
  <c r="K30" i="3"/>
  <c r="M30" i="3" s="1"/>
  <c r="BC30" i="3" s="1"/>
  <c r="K54" i="3"/>
  <c r="M54" i="3" s="1"/>
  <c r="BC54" i="3" s="1"/>
  <c r="K78" i="3"/>
  <c r="M78" i="3" s="1"/>
  <c r="BC78" i="3" s="1"/>
  <c r="K106" i="3"/>
  <c r="M106" i="3" s="1"/>
  <c r="BC106" i="3" s="1"/>
  <c r="K130" i="3"/>
  <c r="M130" i="3" s="1"/>
  <c r="BC130" i="3" s="1"/>
  <c r="K209" i="3"/>
  <c r="M209" i="3" s="1"/>
  <c r="BC209" i="3" s="1"/>
  <c r="K223" i="3"/>
  <c r="M223" i="3" s="1"/>
  <c r="BC223" i="3" s="1"/>
  <c r="K268" i="3"/>
  <c r="M268" i="3" s="1"/>
  <c r="BC268" i="3" s="1"/>
  <c r="K432" i="3"/>
  <c r="M432" i="3" s="1"/>
  <c r="BC432" i="3" s="1"/>
  <c r="K451" i="3"/>
  <c r="M451" i="3" s="1"/>
  <c r="BC451" i="3" s="1"/>
  <c r="K456" i="3"/>
  <c r="M456" i="3" s="1"/>
  <c r="BC456" i="3" s="1"/>
  <c r="K114" i="3"/>
  <c r="M114" i="3" s="1"/>
  <c r="BC114" i="3" s="1"/>
  <c r="K277" i="3"/>
  <c r="M277" i="3" s="1"/>
  <c r="BC277" i="3" s="1"/>
  <c r="K396" i="3"/>
  <c r="M396" i="3" s="1"/>
  <c r="BC396" i="3" s="1"/>
  <c r="K430" i="3"/>
  <c r="M430" i="3" s="1"/>
  <c r="BC430" i="3" s="1"/>
  <c r="K158" i="3"/>
  <c r="M158" i="3" s="1"/>
  <c r="BC158" i="3" s="1"/>
  <c r="K200" i="3"/>
  <c r="M200" i="3" s="1"/>
  <c r="BC200" i="3" s="1"/>
  <c r="K247" i="3"/>
  <c r="M247" i="3" s="1"/>
  <c r="BC247" i="3" s="1"/>
  <c r="K222" i="3"/>
  <c r="M222" i="3" s="1"/>
  <c r="BC222" i="3" s="1"/>
  <c r="K295" i="3"/>
  <c r="M295" i="3" s="1"/>
  <c r="BC295" i="3" s="1"/>
  <c r="K336" i="3"/>
  <c r="M336" i="3" s="1"/>
  <c r="BC336" i="3" s="1"/>
  <c r="K133" i="3"/>
  <c r="M133" i="3" s="1"/>
  <c r="BC133" i="3" s="1"/>
  <c r="K157" i="3"/>
  <c r="M157" i="3" s="1"/>
  <c r="BC157" i="3" s="1"/>
  <c r="K199" i="3"/>
  <c r="M199" i="3" s="1"/>
  <c r="BC199" i="3" s="1"/>
  <c r="K258" i="3"/>
  <c r="M258" i="3" s="1"/>
  <c r="BC258" i="3" s="1"/>
  <c r="K319" i="3"/>
  <c r="M319" i="3" s="1"/>
  <c r="BC319" i="3" s="1"/>
  <c r="K226" i="3"/>
  <c r="M226" i="3" s="1"/>
  <c r="BC226" i="3" s="1"/>
  <c r="K307" i="3"/>
  <c r="M307" i="3" s="1"/>
  <c r="BC307" i="3" s="1"/>
  <c r="K329" i="3"/>
  <c r="M329" i="3" s="1"/>
  <c r="BC329" i="3" s="1"/>
  <c r="K463" i="3"/>
  <c r="M463" i="3" s="1"/>
  <c r="BC463" i="3" s="1"/>
  <c r="K480" i="3"/>
  <c r="M480" i="3" s="1"/>
  <c r="BC480" i="3" s="1"/>
  <c r="K322" i="3"/>
  <c r="M322" i="3" s="1"/>
  <c r="BC322" i="3" s="1"/>
  <c r="K403" i="3"/>
  <c r="M403" i="3" s="1"/>
  <c r="BC403" i="3" s="1"/>
  <c r="K370" i="3"/>
  <c r="M370" i="3" s="1"/>
  <c r="BC370" i="3" s="1"/>
  <c r="K448" i="3"/>
  <c r="M448" i="3" s="1"/>
  <c r="BC448" i="3" s="1"/>
  <c r="K492" i="3"/>
  <c r="M492" i="3" s="1"/>
  <c r="BC492" i="3" s="1"/>
  <c r="O140" i="3" l="1"/>
  <c r="BC24" i="3"/>
  <c r="C27" i="2"/>
  <c r="BC25" i="3"/>
  <c r="C12" i="2"/>
  <c r="C7" i="2"/>
  <c r="C11" i="2"/>
  <c r="C14" i="2"/>
  <c r="C13" i="2"/>
  <c r="C9" i="2"/>
  <c r="C8" i="2"/>
  <c r="C10" i="2"/>
  <c r="O5" i="3"/>
  <c r="C23" i="2" s="1"/>
  <c r="C19" i="2"/>
  <c r="C17" i="2"/>
  <c r="C16" i="2"/>
  <c r="C15" i="2"/>
  <c r="O157" i="3"/>
  <c r="O400" i="3"/>
  <c r="O496" i="3"/>
  <c r="O190" i="3"/>
  <c r="O291" i="3"/>
  <c r="O176" i="3"/>
  <c r="O451" i="3"/>
  <c r="O370" i="3"/>
  <c r="O262" i="3"/>
  <c r="O152" i="3"/>
  <c r="O197" i="3"/>
  <c r="O467" i="3"/>
  <c r="O22" i="3"/>
  <c r="O125" i="3"/>
  <c r="O107" i="3"/>
  <c r="O292" i="3"/>
  <c r="O491" i="3"/>
  <c r="O305" i="3"/>
  <c r="O31" i="3"/>
  <c r="O256" i="3"/>
  <c r="O19" i="3"/>
  <c r="O156" i="3"/>
  <c r="O449" i="3"/>
  <c r="O424" i="3"/>
  <c r="O391" i="3"/>
  <c r="O35" i="3"/>
  <c r="O103" i="3"/>
  <c r="O39" i="3"/>
  <c r="O222" i="3"/>
  <c r="O208" i="3"/>
  <c r="O469" i="3"/>
  <c r="O231" i="3"/>
  <c r="O363" i="3"/>
  <c r="O151" i="3"/>
  <c r="O143" i="3"/>
  <c r="O417" i="3"/>
  <c r="O255" i="3"/>
  <c r="O82" i="3"/>
  <c r="O386" i="3"/>
  <c r="O232" i="3"/>
  <c r="O29" i="3"/>
  <c r="O333" i="3"/>
  <c r="O20" i="3"/>
  <c r="O188" i="3"/>
  <c r="O33" i="3"/>
  <c r="O83" i="3"/>
  <c r="O253" i="3"/>
  <c r="O452" i="3"/>
  <c r="O376" i="3"/>
  <c r="O100" i="3"/>
  <c r="O471" i="3"/>
  <c r="O206" i="3"/>
  <c r="O385" i="3"/>
  <c r="O296" i="3"/>
  <c r="O23" i="3"/>
  <c r="O315" i="3"/>
  <c r="O310" i="3"/>
  <c r="O105" i="3"/>
  <c r="O344" i="3"/>
  <c r="O339" i="3"/>
  <c r="O230" i="3"/>
  <c r="O401" i="3"/>
  <c r="O161" i="3"/>
  <c r="O448" i="3"/>
  <c r="O456" i="3"/>
  <c r="O358" i="3"/>
  <c r="O16" i="3"/>
  <c r="O308" i="3"/>
  <c r="O233" i="3"/>
  <c r="O259" i="3"/>
  <c r="O361" i="3"/>
  <c r="O482" i="3"/>
  <c r="O415" i="3"/>
  <c r="O318" i="3"/>
  <c r="O279" i="3"/>
  <c r="O179" i="3"/>
  <c r="O265" i="3"/>
  <c r="O212" i="3"/>
  <c r="O9" i="3"/>
  <c r="O275" i="3"/>
  <c r="O92" i="3"/>
  <c r="O303" i="3"/>
  <c r="O460" i="3"/>
  <c r="O392" i="3"/>
  <c r="O112" i="3"/>
  <c r="O483" i="3"/>
  <c r="O238" i="3"/>
  <c r="O484" i="3"/>
  <c r="O316" i="3"/>
  <c r="O43" i="3"/>
  <c r="O433" i="3"/>
  <c r="O394" i="3"/>
  <c r="O109" i="3"/>
  <c r="O348" i="3"/>
  <c r="O431" i="3"/>
  <c r="O289" i="3"/>
  <c r="O409" i="3"/>
  <c r="O177" i="3"/>
  <c r="O480" i="3"/>
  <c r="O223" i="3"/>
  <c r="O463" i="3"/>
  <c r="O247" i="3"/>
  <c r="O209" i="3"/>
  <c r="O186" i="3"/>
  <c r="O487" i="3"/>
  <c r="O450" i="3"/>
  <c r="O185" i="3"/>
  <c r="O327" i="3"/>
  <c r="O141" i="3"/>
  <c r="O74" i="3"/>
  <c r="O410" i="3"/>
  <c r="O192" i="3"/>
  <c r="O351" i="3"/>
  <c r="O79" i="3"/>
  <c r="O383" i="3"/>
  <c r="O227" i="3"/>
  <c r="O18" i="3"/>
  <c r="O244" i="3"/>
  <c r="O17" i="3"/>
  <c r="O182" i="3"/>
  <c r="O490" i="3"/>
  <c r="O77" i="3"/>
  <c r="O245" i="3"/>
  <c r="O440" i="3"/>
  <c r="O337" i="3"/>
  <c r="O96" i="3"/>
  <c r="O455" i="3"/>
  <c r="O187" i="3"/>
  <c r="O342" i="3"/>
  <c r="O280" i="3"/>
  <c r="O189" i="3"/>
  <c r="O193" i="3"/>
  <c r="O198" i="3"/>
  <c r="O85" i="3"/>
  <c r="O320" i="3"/>
  <c r="O331" i="3"/>
  <c r="O218" i="3"/>
  <c r="O352" i="3"/>
  <c r="O397" i="3"/>
  <c r="O153" i="3"/>
  <c r="O495" i="3"/>
  <c r="O442" i="3"/>
  <c r="O297" i="3"/>
  <c r="O347" i="3"/>
  <c r="O21" i="3"/>
  <c r="O127" i="3"/>
  <c r="O403" i="3"/>
  <c r="O432" i="3"/>
  <c r="O485" i="3"/>
  <c r="O412" i="3"/>
  <c r="O309" i="3"/>
  <c r="O115" i="3"/>
  <c r="O434" i="3"/>
  <c r="O136" i="3"/>
  <c r="O453" i="3"/>
  <c r="O324" i="3"/>
  <c r="O123" i="3"/>
  <c r="O36" i="3"/>
  <c r="O407" i="3"/>
  <c r="O164" i="3"/>
  <c r="O457" i="3"/>
  <c r="O76" i="3"/>
  <c r="O375" i="3"/>
  <c r="O207" i="3"/>
  <c r="O134" i="3"/>
  <c r="O429" i="3"/>
  <c r="O14" i="3"/>
  <c r="O135" i="3"/>
  <c r="O379" i="3"/>
  <c r="O71" i="3"/>
  <c r="O242" i="3"/>
  <c r="O294" i="3"/>
  <c r="O266" i="3"/>
  <c r="O72" i="3"/>
  <c r="O443" i="3"/>
  <c r="O171" i="3"/>
  <c r="O330" i="3"/>
  <c r="O174" i="3"/>
  <c r="O389" i="3"/>
  <c r="O413" i="3"/>
  <c r="O357" i="3"/>
  <c r="O81" i="3"/>
  <c r="O300" i="3"/>
  <c r="O299" i="3"/>
  <c r="O150" i="3"/>
  <c r="O340" i="3"/>
  <c r="O381" i="3"/>
  <c r="O149" i="3"/>
  <c r="O64" i="3"/>
  <c r="O323" i="3"/>
  <c r="O281" i="3"/>
  <c r="O51" i="3"/>
  <c r="O461" i="3"/>
  <c r="O298" i="3"/>
  <c r="O479" i="3"/>
  <c r="O307" i="3"/>
  <c r="O70" i="3"/>
  <c r="O408" i="3"/>
  <c r="O113" i="3"/>
  <c r="O380" i="3"/>
  <c r="O321" i="3"/>
  <c r="O86" i="3"/>
  <c r="O399" i="3"/>
  <c r="O138" i="3"/>
  <c r="O454" i="3"/>
  <c r="O63" i="3"/>
  <c r="O372" i="3"/>
  <c r="O202" i="3"/>
  <c r="O477" i="3"/>
  <c r="O341" i="3"/>
  <c r="O270" i="3"/>
  <c r="O132" i="3"/>
  <c r="O271" i="3"/>
  <c r="O68" i="3"/>
  <c r="O195" i="3"/>
  <c r="O290" i="3"/>
  <c r="O254" i="3"/>
  <c r="O60" i="3"/>
  <c r="O439" i="3"/>
  <c r="O167" i="3"/>
  <c r="O93" i="3"/>
  <c r="O170" i="3"/>
  <c r="O489" i="3"/>
  <c r="O346" i="3"/>
  <c r="O293" i="3"/>
  <c r="O73" i="3"/>
  <c r="O276" i="3"/>
  <c r="O283" i="3"/>
  <c r="O142" i="3"/>
  <c r="O272" i="3"/>
  <c r="O369" i="3"/>
  <c r="O145" i="3"/>
  <c r="O466" i="3"/>
  <c r="O101" i="3"/>
  <c r="O34" i="3"/>
  <c r="O414" i="3"/>
  <c r="O172" i="3"/>
  <c r="O128" i="3"/>
  <c r="O133" i="3"/>
  <c r="O211" i="3"/>
  <c r="O488" i="3"/>
  <c r="O13" i="3"/>
  <c r="O15" i="3"/>
  <c r="O59" i="3"/>
  <c r="O350" i="3"/>
  <c r="O205" i="3"/>
  <c r="O285" i="3"/>
  <c r="O336" i="3"/>
  <c r="O165" i="3"/>
  <c r="O418" i="3"/>
  <c r="O90" i="3"/>
  <c r="O328" i="3"/>
  <c r="O181" i="3"/>
  <c r="O268" i="3"/>
  <c r="O94" i="3"/>
  <c r="O345" i="3"/>
  <c r="O314" i="3"/>
  <c r="O332" i="3"/>
  <c r="O338" i="3"/>
  <c r="O162" i="3"/>
  <c r="O435" i="3"/>
  <c r="O288" i="3"/>
  <c r="O104" i="3"/>
  <c r="O124" i="3"/>
  <c r="O387" i="3"/>
  <c r="O353" i="3"/>
  <c r="O159" i="3"/>
  <c r="O235" i="3"/>
  <c r="O191" i="3"/>
  <c r="O95" i="3"/>
  <c r="O116" i="3"/>
  <c r="O220" i="3"/>
  <c r="O225" i="3"/>
  <c r="O121" i="3"/>
  <c r="O295" i="3"/>
  <c r="O329" i="3"/>
  <c r="O130" i="3"/>
  <c r="O158" i="3"/>
  <c r="O430" i="3"/>
  <c r="O447" i="3"/>
  <c r="O382" i="3"/>
  <c r="O304" i="3"/>
  <c r="O80" i="3"/>
  <c r="O117" i="3"/>
  <c r="O38" i="3"/>
  <c r="O194" i="3"/>
  <c r="O267" i="3"/>
  <c r="O129" i="3"/>
  <c r="O169" i="3"/>
  <c r="O56" i="3"/>
  <c r="O146" i="3"/>
  <c r="O263" i="3"/>
  <c r="O248" i="3"/>
  <c r="O66" i="3"/>
  <c r="O425" i="3"/>
  <c r="O364" i="3"/>
  <c r="O416" i="3"/>
  <c r="O178" i="3"/>
  <c r="O213" i="3"/>
  <c r="O163" i="3"/>
  <c r="O48" i="3"/>
  <c r="O441" i="3"/>
  <c r="O378" i="3"/>
  <c r="O436" i="3"/>
  <c r="O236" i="3"/>
  <c r="O58" i="3"/>
  <c r="O269" i="3"/>
  <c r="O258" i="3"/>
  <c r="O277" i="3"/>
  <c r="O210" i="3"/>
  <c r="O390" i="3"/>
  <c r="O371" i="3"/>
  <c r="O28" i="3"/>
  <c r="O173" i="3"/>
  <c r="O217" i="3"/>
  <c r="O50" i="3"/>
  <c r="O84" i="3"/>
  <c r="O365" i="3"/>
  <c r="O27" i="3"/>
  <c r="O362" i="3"/>
  <c r="O196" i="3"/>
  <c r="O354" i="3"/>
  <c r="O122" i="3"/>
  <c r="O388" i="3"/>
  <c r="O234" i="3"/>
  <c r="O108" i="3"/>
  <c r="O465" i="3"/>
  <c r="O111" i="3"/>
  <c r="O204" i="3"/>
  <c r="O355" i="3"/>
  <c r="O160" i="3"/>
  <c r="O184" i="3"/>
  <c r="O215" i="3"/>
  <c r="O32" i="3"/>
  <c r="O411" i="3"/>
  <c r="O437" i="3"/>
  <c r="O486" i="3"/>
  <c r="O91" i="3"/>
  <c r="O260" i="3"/>
  <c r="O458" i="3"/>
  <c r="O428" i="3"/>
  <c r="O57" i="3"/>
  <c r="O228" i="3"/>
  <c r="O126" i="3"/>
  <c r="O419" i="3"/>
  <c r="O239" i="3"/>
  <c r="O257" i="3"/>
  <c r="O8" i="3"/>
  <c r="O25" i="3"/>
  <c r="O302" i="3"/>
  <c r="O444" i="3"/>
  <c r="O65" i="3"/>
  <c r="O481" i="3"/>
  <c r="O98" i="3"/>
  <c r="O284" i="3"/>
  <c r="O326" i="3"/>
  <c r="O273" i="3"/>
  <c r="O422" i="3"/>
  <c r="O147" i="3"/>
  <c r="O264" i="3"/>
  <c r="O478" i="3"/>
  <c r="O286" i="3"/>
  <c r="O278" i="3"/>
  <c r="O45" i="3"/>
  <c r="O261" i="3"/>
  <c r="O47" i="3"/>
  <c r="O398" i="3"/>
  <c r="O497" i="3"/>
  <c r="O322" i="3"/>
  <c r="O102" i="3"/>
  <c r="O200" i="3"/>
  <c r="O343" i="3"/>
  <c r="O106" i="3"/>
  <c r="O229" i="3"/>
  <c r="O226" i="3"/>
  <c r="O78" i="3"/>
  <c r="O46" i="3"/>
  <c r="O221" i="3"/>
  <c r="O499" i="3"/>
  <c r="O97" i="3"/>
  <c r="O306" i="3"/>
  <c r="O26" i="3"/>
  <c r="O384" i="3"/>
  <c r="O438" i="3"/>
  <c r="O367" i="3"/>
  <c r="O472" i="3"/>
  <c r="O168" i="3"/>
  <c r="O216" i="3"/>
  <c r="O402" i="3"/>
  <c r="O282" i="3"/>
  <c r="O250" i="3"/>
  <c r="O427" i="3"/>
  <c r="O139" i="3"/>
  <c r="O49" i="3"/>
  <c r="O406" i="3"/>
  <c r="O468" i="3"/>
  <c r="O69" i="3"/>
  <c r="O251" i="3"/>
  <c r="O252" i="3"/>
  <c r="O325" i="3"/>
  <c r="O319" i="3"/>
  <c r="O396" i="3"/>
  <c r="O54" i="3"/>
  <c r="O464" i="3"/>
  <c r="O55" i="3"/>
  <c r="O421" i="3"/>
  <c r="O374" i="3"/>
  <c r="O89" i="3"/>
  <c r="O183" i="3"/>
  <c r="O246" i="3"/>
  <c r="O53" i="3"/>
  <c r="O154" i="3"/>
  <c r="O373" i="3"/>
  <c r="O88" i="3"/>
  <c r="O445" i="3"/>
  <c r="O166" i="3"/>
  <c r="O62" i="3"/>
  <c r="O10" i="3"/>
  <c r="O120" i="3"/>
  <c r="O393" i="3"/>
  <c r="O274" i="3"/>
  <c r="O243" i="3"/>
  <c r="O423" i="3"/>
  <c r="O494" i="3"/>
  <c r="O99" i="3"/>
  <c r="O470" i="3"/>
  <c r="O61" i="3"/>
  <c r="O67" i="3"/>
  <c r="O474" i="3"/>
  <c r="O30" i="3"/>
  <c r="O492" i="3"/>
  <c r="O199" i="3"/>
  <c r="O114" i="3"/>
  <c r="O377" i="3"/>
  <c r="O366" i="3"/>
  <c r="O11" i="3"/>
  <c r="O493" i="3"/>
  <c r="O214" i="3"/>
  <c r="O42" i="3"/>
  <c r="O498" i="3"/>
  <c r="O360" i="3"/>
  <c r="O24" i="3"/>
  <c r="O334" i="3"/>
  <c r="O475" i="3"/>
  <c r="O312" i="3"/>
  <c r="O119" i="3"/>
  <c r="O349" i="3"/>
  <c r="O144" i="3"/>
  <c r="O37" i="3"/>
  <c r="O459" i="3"/>
  <c r="O473" i="3"/>
  <c r="O175" i="3"/>
  <c r="O335" i="3"/>
  <c r="O148" i="3"/>
  <c r="O180" i="3"/>
  <c r="O203" i="3"/>
  <c r="O240" i="3"/>
  <c r="O356" i="3"/>
  <c r="O311" i="3"/>
  <c r="O462" i="3"/>
  <c r="O87" i="3"/>
  <c r="O241" i="3"/>
  <c r="O446" i="3"/>
  <c r="O420" i="3"/>
  <c r="O41" i="3"/>
  <c r="O224" i="3"/>
  <c r="O118" i="3"/>
  <c r="O359" i="3"/>
  <c r="O219" i="3"/>
  <c r="O249" i="3"/>
  <c r="O405" i="3"/>
  <c r="O313" i="3"/>
  <c r="O287" i="3"/>
  <c r="O395" i="3"/>
  <c r="O75" i="3"/>
  <c r="O237" i="3"/>
  <c r="O426" i="3"/>
  <c r="O137" i="3"/>
  <c r="O301" i="3"/>
  <c r="O317" i="3"/>
  <c r="O110" i="3"/>
  <c r="O131" i="3"/>
  <c r="O155" i="3"/>
  <c r="O201" i="3"/>
  <c r="O6" i="3"/>
  <c r="O7" i="3"/>
  <c r="O12" i="3"/>
  <c r="C20" i="2"/>
  <c r="C22" i="2"/>
  <c r="C21" i="2"/>
  <c r="C18" i="2"/>
  <c r="C25" i="2"/>
  <c r="C26" i="2"/>
  <c r="C24" i="2"/>
  <c r="C48" i="2"/>
  <c r="L55" i="2"/>
  <c r="N55" i="2" l="1"/>
  <c r="C49" i="2"/>
  <c r="P55" i="2" s="1"/>
</calcChain>
</file>

<file path=xl/sharedStrings.xml><?xml version="1.0" encoding="utf-8"?>
<sst xmlns="http://schemas.openxmlformats.org/spreadsheetml/2006/main" count="283" uniqueCount="124">
  <si>
    <t>Status</t>
  </si>
  <si>
    <t>Room Type</t>
  </si>
  <si>
    <t>Confirmed</t>
  </si>
  <si>
    <t>Cancelled</t>
  </si>
  <si>
    <t>Booking ID</t>
  </si>
  <si>
    <t>Guest Name</t>
  </si>
  <si>
    <t>Check-In</t>
  </si>
  <si>
    <t>Check-Out</t>
  </si>
  <si>
    <t>Nights</t>
  </si>
  <si>
    <t>Total Amount</t>
  </si>
  <si>
    <t>(internal - do not delete)</t>
  </si>
  <si>
    <t>Phone</t>
  </si>
  <si>
    <t>Email</t>
  </si>
  <si>
    <t>Rate / Night</t>
  </si>
  <si>
    <t>Guests</t>
  </si>
  <si>
    <t>Subtotal</t>
  </si>
  <si>
    <t>Discount %</t>
  </si>
  <si>
    <t>Deposit Paid</t>
  </si>
  <si>
    <t>Balance Due</t>
  </si>
  <si>
    <t>Booking Date</t>
  </si>
  <si>
    <t>Notes</t>
  </si>
  <si>
    <t>Next Booking ID</t>
  </si>
  <si>
    <t>Room Type (ID)</t>
  </si>
  <si>
    <t>Target row in Bookings sheet</t>
  </si>
  <si>
    <t>Sort Key (internal - do not delete)</t>
  </si>
  <si>
    <t>OHS-01</t>
  </si>
  <si>
    <t>OPV-02</t>
  </si>
  <si>
    <t>OnlyOne Homestay &amp; Private Villa</t>
  </si>
  <si>
    <t>Search - BOOKING HISTORY</t>
  </si>
  <si>
    <t>CREATE NEW BOOKING</t>
  </si>
  <si>
    <t>SAVE TO BOOKINGS LOG</t>
  </si>
  <si>
    <t>ACT-01</t>
  </si>
  <si>
    <t>ACT-03</t>
  </si>
  <si>
    <t>ACT-05</t>
  </si>
  <si>
    <t>FNB-01</t>
  </si>
  <si>
    <t>FNB-02</t>
  </si>
  <si>
    <t>FNB-03</t>
  </si>
  <si>
    <t>FNB-04</t>
  </si>
  <si>
    <t>FNB-05</t>
  </si>
  <si>
    <t>Qty</t>
  </si>
  <si>
    <t>BK-0001</t>
  </si>
  <si>
    <t>Address</t>
  </si>
  <si>
    <t>Website</t>
  </si>
  <si>
    <t>Guest Information</t>
  </si>
  <si>
    <t>Name</t>
  </si>
  <si>
    <t>Contact Details</t>
  </si>
  <si>
    <t>Receipt Details</t>
  </si>
  <si>
    <t>Check-In Date</t>
  </si>
  <si>
    <t>Check-Out Date</t>
  </si>
  <si>
    <t>Description / Notes</t>
  </si>
  <si>
    <t>Payment Information</t>
  </si>
  <si>
    <t>Payment Method</t>
  </si>
  <si>
    <t>ABA Bank</t>
  </si>
  <si>
    <t>Tann Pisey</t>
  </si>
  <si>
    <t>012 859 012</t>
  </si>
  <si>
    <t>Room &amp; Service Charges</t>
  </si>
  <si>
    <t>Guest No.</t>
  </si>
  <si>
    <t>OnlyOne Private Villa &amp; Homestay</t>
  </si>
  <si>
    <t>Activities &amp; Service Charges</t>
  </si>
  <si>
    <t>Food &amp; Beverage Charges</t>
  </si>
  <si>
    <t>Activities &amp; Service (optional, up to 6)</t>
  </si>
  <si>
    <t>F&amp;B Service (optional, up to 5)</t>
  </si>
  <si>
    <t>Activities &amp; Service Subtotal</t>
  </si>
  <si>
    <t>F&amp;B Service Subtotal</t>
  </si>
  <si>
    <t>Option 01</t>
  </si>
  <si>
    <t>Option 02</t>
  </si>
  <si>
    <t>Option 03</t>
  </si>
  <si>
    <t>Option 04</t>
  </si>
  <si>
    <t>Option 05</t>
  </si>
  <si>
    <t>Option 06</t>
  </si>
  <si>
    <t>Amount</t>
  </si>
  <si>
    <t>Items ID</t>
  </si>
  <si>
    <t>Additional Charges for F&amp;B Services</t>
  </si>
  <si>
    <t>Total Revenues</t>
  </si>
  <si>
    <t>Remarks</t>
  </si>
  <si>
    <t>Issue Date</t>
  </si>
  <si>
    <t>Receipt No.</t>
  </si>
  <si>
    <t>Room &amp; Service Type</t>
  </si>
  <si>
    <t>F&amp;B Type</t>
  </si>
  <si>
    <t>Menu 01</t>
  </si>
  <si>
    <t>Menu 02</t>
  </si>
  <si>
    <t>Menu 03</t>
  </si>
  <si>
    <t>Menu 04</t>
  </si>
  <si>
    <t>Menu 05</t>
  </si>
  <si>
    <t>Booking Information</t>
  </si>
  <si>
    <t>Rate / Price</t>
  </si>
  <si>
    <t>Additional Service</t>
  </si>
  <si>
    <t>ខាងម៉ូតូត្រៃ</t>
  </si>
  <si>
    <t>ហួតជាមួយមិត្ត</t>
  </si>
  <si>
    <t>ចែ Sokchean</t>
  </si>
  <si>
    <t>011 544 599</t>
  </si>
  <si>
    <t>Alec</t>
  </si>
  <si>
    <t>Bookings &amp; Reservations Log</t>
  </si>
  <si>
    <t>Deposit Amount</t>
  </si>
  <si>
    <t>បងស្រី Vichea</t>
  </si>
  <si>
    <t>097800 8006</t>
  </si>
  <si>
    <t>kakada</t>
  </si>
  <si>
    <t>Twenty Two</t>
  </si>
  <si>
    <t>Panha</t>
  </si>
  <si>
    <t>069 919 797</t>
  </si>
  <si>
    <t>ACT-07</t>
  </si>
  <si>
    <t>FNB-07</t>
  </si>
  <si>
    <t>Cheng Master Tech</t>
  </si>
  <si>
    <t>August Chan</t>
  </si>
  <si>
    <t>076 333 3519</t>
  </si>
  <si>
    <t>Je SKP</t>
  </si>
  <si>
    <t>011 788 799</t>
  </si>
  <si>
    <t>Je Heak</t>
  </si>
  <si>
    <t>017 678 988</t>
  </si>
  <si>
    <t>Siek Mey</t>
  </si>
  <si>
    <t>Tola</t>
  </si>
  <si>
    <t>Sovathara</t>
  </si>
  <si>
    <t>081 868 696</t>
  </si>
  <si>
    <t>Reachie</t>
  </si>
  <si>
    <t>016 778 196</t>
  </si>
  <si>
    <t>Mr. Vantage</t>
  </si>
  <si>
    <t>017 881 888</t>
  </si>
  <si>
    <t>Je Tann Pisey</t>
  </si>
  <si>
    <t>Mr. Hey Seth</t>
  </si>
  <si>
    <t>012 349 616</t>
  </si>
  <si>
    <t>VAT (10%)</t>
  </si>
  <si>
    <t>Amount Due</t>
  </si>
  <si>
    <t>Night / Qty</t>
  </si>
  <si>
    <t>Search by Booking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</si>
</sst>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mm/dd/yyyy"/>
    <numFmt numFmtId="167" formatCode="0.0%"/>
    <numFmt numFmtId="168" formatCode="\$#,##0.00;&quot;($&quot;#,##0.00\);\-"/>
    <numFmt numFmtId="169" formatCode="[$-409]d/mmm/yyyy;@"/>
    <numFmt numFmtId="170" formatCode="mm/dd/yy;@"/>
    <numFmt numFmtId="171" formatCode="_-&quot;$&quot;* #,##0.00_-;\-&quot;$&quot;* #,##0.00_-;_-&quot;$&quot;* &quot;-&quot;??_-;_-@_-"/>
    <numFmt numFmtId="172" formatCode="0.0"/>
  </numFmts>
  <fonts count="39" x14ac:knownFonts="1">
    <font>
      <sz val="11"/>
      <color theme="1"/>
      <name val="Calibri"/>
      <family val="2"/>
      <charset val="1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i/>
      <sz val="8"/>
      <color rgb="FF808080"/>
      <name val="Arial"/>
      <family val="2"/>
    </font>
    <font>
      <b/>
      <sz val="20"/>
      <color rgb="FFFFFFFF"/>
      <name val="Arial"/>
      <family val="2"/>
    </font>
    <font>
      <i/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0"/>
      <color rgb="FF000000"/>
      <name val="Arial"/>
      <family val="2"/>
    </font>
    <font>
      <sz val="10"/>
      <color rgb="FF0000FF"/>
      <name val="Arial"/>
      <family val="2"/>
    </font>
    <font>
      <b/>
      <i/>
      <sz val="9"/>
      <color rgb="FF808080"/>
      <name val="Arial"/>
      <family val="2"/>
    </font>
    <font>
      <b/>
      <i/>
      <sz val="9"/>
      <color rgb="FFC00000"/>
      <name val="Arial"/>
      <family val="2"/>
    </font>
    <font>
      <sz val="10"/>
      <name val="Arial"/>
      <family val="2"/>
    </font>
    <font>
      <b/>
      <sz val="10"/>
      <color rgb="FF1F3864"/>
      <name val="Arial"/>
      <family val="2"/>
    </font>
    <font>
      <u/>
      <sz val="11"/>
      <color theme="10"/>
      <name val="Calibri"/>
      <family val="2"/>
      <charset val="1"/>
    </font>
    <font>
      <sz val="10"/>
      <color rgb="FF0000FF"/>
      <name val="Arial"/>
      <family val="2"/>
    </font>
    <font>
      <sz val="11"/>
      <color theme="1"/>
      <name val="Calibri"/>
      <family val="2"/>
      <charset val="1"/>
    </font>
    <font>
      <sz val="11"/>
      <name val="Calibri"/>
      <family val="2"/>
      <charset val="1"/>
    </font>
    <font>
      <sz val="8"/>
      <color theme="0" tint="-0.14999847407452621"/>
      <name val="Arial"/>
      <family val="2"/>
    </font>
    <font>
      <b/>
      <sz val="10"/>
      <color rgb="FF0000FF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charset val="1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1"/>
      <color rgb="FFFFFFFF"/>
      <name val="Arial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name val="Arial"/>
      <family val="2"/>
    </font>
    <font>
      <sz val="18"/>
      <name val="Arial"/>
      <family val="2"/>
    </font>
    <font>
      <sz val="12"/>
      <name val="Arial"/>
      <family val="2"/>
    </font>
    <font>
      <sz val="2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b/>
      <sz val="1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i/>
      <sz val="8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F3864"/>
        <bgColor rgb="FF1A1A1A"/>
      </patternFill>
    </fill>
    <fill>
      <patternFill patternType="solid">
        <fgColor rgb="FF1B7A6E"/>
        <bgColor rgb="FF008080"/>
      </patternFill>
    </fill>
    <fill>
      <patternFill patternType="solid">
        <fgColor rgb="FFFFF2CC"/>
        <bgColor rgb="FFF2F2F2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rgb="FFF2F2F2"/>
      </patternFill>
    </fill>
    <fill>
      <patternFill patternType="solid">
        <fgColor rgb="FFFFF2CC"/>
        <bgColor rgb="FFFDEADA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9F9F9"/>
      </patternFill>
    </fill>
    <fill>
      <patternFill patternType="solid">
        <fgColor rgb="FFFFFFC9"/>
        <bgColor indexed="64"/>
      </patternFill>
    </fill>
  </fills>
  <borders count="2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/>
      <diagonal/>
    </border>
  </borders>
  <cellStyleXfs count="7">
    <xf numFmtId="0" fontId="0" fillId="0" borderId="0"/>
    <xf numFmtId="0" fontId="13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6" fillId="0" borderId="0"/>
    <xf numFmtId="171" fontId="26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156">
    <xf numFmtId="0" fontId="0" fillId="0" borderId="0" xfId="0"/>
    <xf numFmtId="0" fontId="7" fillId="0" borderId="0" xfId="0" applyFont="1"/>
    <xf numFmtId="0" fontId="3" fillId="0" borderId="0" xfId="0" applyFont="1"/>
    <xf numFmtId="168" fontId="7" fillId="0" borderId="0" xfId="0" applyNumberFormat="1" applyFont="1"/>
    <xf numFmtId="0" fontId="1" fillId="2" borderId="1" xfId="0" applyFont="1" applyFill="1" applyBorder="1" applyAlignment="1">
      <alignment horizontal="center" vertical="center" wrapText="1"/>
    </xf>
    <xf numFmtId="0" fontId="8" fillId="0" borderId="1" xfId="0" applyFont="1" applyBorder="1"/>
    <xf numFmtId="0" fontId="8" fillId="0" borderId="1" xfId="0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8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/>
    </xf>
    <xf numFmtId="167" fontId="8" fillId="4" borderId="1" xfId="0" applyNumberFormat="1" applyFont="1" applyFill="1" applyBorder="1" applyAlignment="1">
      <alignment horizontal="left"/>
    </xf>
    <xf numFmtId="168" fontId="8" fillId="4" borderId="1" xfId="0" applyNumberFormat="1" applyFont="1" applyFill="1" applyBorder="1" applyAlignment="1">
      <alignment horizontal="left"/>
    </xf>
    <xf numFmtId="0" fontId="13" fillId="4" borderId="1" xfId="1" applyFill="1" applyBorder="1" applyAlignment="1" applyProtection="1">
      <alignment horizontal="left"/>
    </xf>
    <xf numFmtId="169" fontId="8" fillId="4" borderId="1" xfId="0" applyNumberFormat="1" applyFont="1" applyFill="1" applyBorder="1" applyAlignment="1">
      <alignment horizontal="left"/>
    </xf>
    <xf numFmtId="0" fontId="14" fillId="0" borderId="1" xfId="0" applyFont="1" applyBorder="1"/>
    <xf numFmtId="0" fontId="8" fillId="5" borderId="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1" fillId="4" borderId="1" xfId="0" applyFont="1" applyFill="1" applyBorder="1" applyAlignment="1">
      <alignment horizontal="center" vertical="center"/>
    </xf>
    <xf numFmtId="1" fontId="11" fillId="4" borderId="1" xfId="0" applyNumberFormat="1" applyFont="1" applyFill="1" applyBorder="1" applyAlignment="1">
      <alignment horizontal="center" vertical="center"/>
    </xf>
    <xf numFmtId="169" fontId="11" fillId="4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Border="1" applyAlignment="1">
      <alignment horizontal="left"/>
    </xf>
    <xf numFmtId="1" fontId="14" fillId="0" borderId="1" xfId="0" applyNumberFormat="1" applyFont="1" applyBorder="1" applyAlignment="1">
      <alignment horizontal="left"/>
    </xf>
    <xf numFmtId="0" fontId="8" fillId="4" borderId="1" xfId="0" applyFont="1" applyFill="1" applyBorder="1"/>
    <xf numFmtId="1" fontId="8" fillId="4" borderId="1" xfId="0" applyNumberFormat="1" applyFont="1" applyFill="1" applyBorder="1" applyAlignment="1">
      <alignment horizontal="left"/>
    </xf>
    <xf numFmtId="0" fontId="16" fillId="0" borderId="0" xfId="0" applyFont="1" applyAlignment="1">
      <alignment horizontal="center"/>
    </xf>
    <xf numFmtId="0" fontId="7" fillId="6" borderId="0" xfId="0" applyFont="1" applyFill="1"/>
    <xf numFmtId="0" fontId="17" fillId="0" borderId="0" xfId="2" applyNumberFormat="1" applyFont="1" applyAlignment="1" applyProtection="1">
      <alignment horizontal="center" vertical="center"/>
    </xf>
    <xf numFmtId="0" fontId="7" fillId="7" borderId="0" xfId="0" applyFont="1" applyFill="1" applyAlignment="1">
      <alignment horizontal="center"/>
    </xf>
    <xf numFmtId="0" fontId="18" fillId="8" borderId="1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0" fillId="0" borderId="0" xfId="0" applyFont="1"/>
    <xf numFmtId="0" fontId="24" fillId="9" borderId="1" xfId="0" applyFont="1" applyFill="1" applyBorder="1"/>
    <xf numFmtId="0" fontId="22" fillId="0" borderId="0" xfId="0" applyFont="1" applyAlignment="1">
      <alignment horizontal="center"/>
    </xf>
    <xf numFmtId="0" fontId="30" fillId="0" borderId="0" xfId="4" applyFont="1" applyAlignment="1">
      <alignment vertical="center"/>
    </xf>
    <xf numFmtId="170" fontId="28" fillId="0" borderId="3" xfId="4" applyNumberFormat="1" applyFont="1" applyBorder="1" applyAlignment="1">
      <alignment horizontal="left" vertical="center" wrapText="1" indent="1"/>
    </xf>
    <xf numFmtId="170" fontId="28" fillId="0" borderId="4" xfId="4" applyNumberFormat="1" applyFont="1" applyBorder="1" applyAlignment="1">
      <alignment horizontal="left" vertical="center" wrapText="1" indent="1"/>
    </xf>
    <xf numFmtId="0" fontId="28" fillId="11" borderId="5" xfId="4" applyFont="1" applyFill="1" applyBorder="1" applyAlignment="1">
      <alignment horizontal="left" vertical="center" wrapText="1" indent="1"/>
    </xf>
    <xf numFmtId="0" fontId="28" fillId="11" borderId="5" xfId="4" applyFont="1" applyFill="1" applyBorder="1" applyAlignment="1">
      <alignment horizontal="center" vertical="center" wrapText="1"/>
    </xf>
    <xf numFmtId="0" fontId="28" fillId="0" borderId="5" xfId="4" applyFont="1" applyBorder="1" applyAlignment="1">
      <alignment horizontal="left" vertical="center" wrapText="1" indent="1"/>
    </xf>
    <xf numFmtId="164" fontId="28" fillId="0" borderId="5" xfId="4" applyNumberFormat="1" applyFont="1" applyBorder="1" applyAlignment="1">
      <alignment horizontal="right" vertical="center"/>
    </xf>
    <xf numFmtId="1" fontId="28" fillId="0" borderId="5" xfId="4" applyNumberFormat="1" applyFont="1" applyBorder="1" applyAlignment="1">
      <alignment horizontal="center" vertical="center"/>
    </xf>
    <xf numFmtId="164" fontId="28" fillId="10" borderId="5" xfId="4" applyNumberFormat="1" applyFont="1" applyFill="1" applyBorder="1" applyAlignment="1">
      <alignment horizontal="right" vertical="center"/>
    </xf>
    <xf numFmtId="0" fontId="30" fillId="0" borderId="0" xfId="4" applyFont="1"/>
    <xf numFmtId="0" fontId="28" fillId="0" borderId="0" xfId="4" applyFont="1" applyAlignment="1">
      <alignment vertical="center"/>
    </xf>
    <xf numFmtId="0" fontId="28" fillId="0" borderId="0" xfId="4" applyFont="1"/>
    <xf numFmtId="0" fontId="28" fillId="0" borderId="10" xfId="4" applyFont="1" applyBorder="1" applyAlignment="1">
      <alignment horizontal="left" vertical="center" wrapText="1" indent="1"/>
    </xf>
    <xf numFmtId="164" fontId="28" fillId="0" borderId="10" xfId="4" applyNumberFormat="1" applyFont="1" applyBorder="1" applyAlignment="1">
      <alignment horizontal="right" vertical="center"/>
    </xf>
    <xf numFmtId="1" fontId="28" fillId="0" borderId="10" xfId="4" applyNumberFormat="1" applyFont="1" applyBorder="1" applyAlignment="1">
      <alignment horizontal="center" vertical="center"/>
    </xf>
    <xf numFmtId="164" fontId="28" fillId="0" borderId="6" xfId="4" applyNumberFormat="1" applyFont="1" applyBorder="1" applyAlignment="1">
      <alignment horizontal="right" vertical="center"/>
    </xf>
    <xf numFmtId="171" fontId="32" fillId="12" borderId="9" xfId="5" applyFont="1" applyFill="1" applyBorder="1" applyAlignment="1">
      <alignment vertical="center"/>
    </xf>
    <xf numFmtId="0" fontId="19" fillId="0" borderId="0" xfId="4" applyFont="1" applyAlignment="1">
      <alignment horizontal="right" vertical="center" indent="1"/>
    </xf>
    <xf numFmtId="0" fontId="33" fillId="0" borderId="0" xfId="4" applyFont="1" applyAlignment="1">
      <alignment horizontal="left" vertical="center" indent="1"/>
    </xf>
    <xf numFmtId="0" fontId="19" fillId="0" borderId="2" xfId="0" applyFont="1" applyBorder="1" applyAlignment="1">
      <alignment horizontal="center" vertical="center"/>
    </xf>
    <xf numFmtId="0" fontId="19" fillId="14" borderId="8" xfId="0" applyFont="1" applyFill="1" applyBorder="1" applyAlignment="1">
      <alignment horizontal="center" vertical="center"/>
    </xf>
    <xf numFmtId="0" fontId="19" fillId="6" borderId="8" xfId="0" applyFont="1" applyFill="1" applyBorder="1" applyAlignment="1">
      <alignment horizontal="center" vertical="center"/>
    </xf>
    <xf numFmtId="0" fontId="19" fillId="6" borderId="11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8" xfId="0" applyBorder="1"/>
    <xf numFmtId="170" fontId="28" fillId="6" borderId="3" xfId="4" applyNumberFormat="1" applyFont="1" applyFill="1" applyBorder="1" applyAlignment="1">
      <alignment horizontal="left" vertical="center" wrapText="1" indent="1"/>
    </xf>
    <xf numFmtId="168" fontId="2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8" fontId="21" fillId="0" borderId="0" xfId="0" applyNumberFormat="1" applyFont="1" applyAlignment="1">
      <alignment horizontal="center"/>
    </xf>
    <xf numFmtId="0" fontId="24" fillId="9" borderId="1" xfId="0" applyFont="1" applyFill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168" fontId="11" fillId="4" borderId="1" xfId="0" applyNumberFormat="1" applyFont="1" applyFill="1" applyBorder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172" fontId="16" fillId="0" borderId="0" xfId="0" applyNumberFormat="1" applyFont="1" applyAlignment="1">
      <alignment horizontal="center"/>
    </xf>
    <xf numFmtId="172" fontId="8" fillId="0" borderId="1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72" fontId="19" fillId="0" borderId="8" xfId="0" applyNumberFormat="1" applyFont="1" applyBorder="1" applyAlignment="1">
      <alignment horizontal="center" vertical="center"/>
    </xf>
    <xf numFmtId="172" fontId="8" fillId="0" borderId="2" xfId="0" applyNumberFormat="1" applyFont="1" applyBorder="1" applyAlignment="1">
      <alignment horizontal="center" vertical="center"/>
    </xf>
    <xf numFmtId="2" fontId="19" fillId="0" borderId="8" xfId="0" applyNumberFormat="1" applyFont="1" applyBorder="1" applyAlignment="1">
      <alignment horizontal="center" vertical="center"/>
    </xf>
    <xf numFmtId="165" fontId="8" fillId="0" borderId="14" xfId="0" applyNumberFormat="1" applyFont="1" applyBorder="1" applyAlignment="1">
      <alignment horizontal="center" vertical="center"/>
    </xf>
    <xf numFmtId="172" fontId="8" fillId="0" borderId="14" xfId="0" applyNumberFormat="1" applyFont="1" applyBorder="1" applyAlignment="1">
      <alignment horizontal="center" vertical="center"/>
    </xf>
    <xf numFmtId="164" fontId="8" fillId="0" borderId="14" xfId="3" applyFont="1" applyFill="1" applyBorder="1" applyAlignment="1" applyProtection="1">
      <alignment horizontal="center" vertical="center"/>
    </xf>
    <xf numFmtId="172" fontId="8" fillId="0" borderId="15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horizontal="left" vertical="center"/>
    </xf>
    <xf numFmtId="169" fontId="8" fillId="0" borderId="1" xfId="0" applyNumberFormat="1" applyFont="1" applyBorder="1" applyAlignment="1">
      <alignment horizontal="center" vertical="center"/>
    </xf>
    <xf numFmtId="0" fontId="11" fillId="4" borderId="1" xfId="0" applyFont="1" applyFill="1" applyBorder="1" applyAlignment="1">
      <alignment horizontal="left" vertical="center"/>
    </xf>
    <xf numFmtId="170" fontId="28" fillId="0" borderId="16" xfId="4" applyNumberFormat="1" applyFont="1" applyBorder="1" applyAlignment="1">
      <alignment horizontal="left" vertical="center" wrapText="1" indent="1"/>
    </xf>
    <xf numFmtId="170" fontId="28" fillId="0" borderId="17" xfId="4" applyNumberFormat="1" applyFont="1" applyBorder="1" applyAlignment="1">
      <alignment horizontal="left" vertical="center" wrapText="1" indent="1"/>
    </xf>
    <xf numFmtId="170" fontId="28" fillId="0" borderId="18" xfId="4" applyNumberFormat="1" applyFont="1" applyBorder="1" applyAlignment="1">
      <alignment horizontal="left" vertical="center" wrapText="1" indent="1"/>
    </xf>
    <xf numFmtId="170" fontId="28" fillId="0" borderId="19" xfId="4" applyNumberFormat="1" applyFont="1" applyBorder="1" applyAlignment="1">
      <alignment horizontal="left" vertical="center" wrapText="1" indent="1"/>
    </xf>
    <xf numFmtId="170" fontId="28" fillId="0" borderId="6" xfId="4" applyNumberFormat="1" applyFont="1" applyBorder="1" applyAlignment="1">
      <alignment horizontal="left" vertical="center" wrapText="1" indent="1"/>
    </xf>
    <xf numFmtId="0" fontId="28" fillId="0" borderId="3" xfId="4" applyFont="1" applyBorder="1" applyAlignment="1">
      <alignment horizontal="left" vertical="center" wrapText="1"/>
    </xf>
    <xf numFmtId="0" fontId="28" fillId="0" borderId="4" xfId="4" applyFont="1" applyBorder="1" applyAlignment="1">
      <alignment horizontal="left" vertical="center" wrapText="1"/>
    </xf>
    <xf numFmtId="0" fontId="38" fillId="0" borderId="20" xfId="0" applyFont="1" applyBorder="1" applyAlignment="1">
      <alignment horizontal="center" vertical="center"/>
    </xf>
    <xf numFmtId="170" fontId="28" fillId="0" borderId="21" xfId="4" applyNumberFormat="1" applyFont="1" applyBorder="1" applyAlignment="1">
      <alignment horizontal="left" vertical="center" wrapText="1" indent="1"/>
    </xf>
    <xf numFmtId="10" fontId="28" fillId="0" borderId="5" xfId="2" applyNumberFormat="1" applyFont="1" applyBorder="1" applyAlignment="1">
      <alignment horizontal="center" vertical="center" wrapText="1"/>
    </xf>
    <xf numFmtId="164" fontId="28" fillId="0" borderId="5" xfId="3" applyFont="1" applyBorder="1" applyAlignment="1">
      <alignment horizontal="left" vertical="center" wrapText="1" indent="1"/>
    </xf>
    <xf numFmtId="0" fontId="28" fillId="0" borderId="5" xfId="4" applyFont="1" applyBorder="1" applyAlignment="1">
      <alignment horizontal="center" vertical="center" wrapText="1"/>
    </xf>
    <xf numFmtId="164" fontId="8" fillId="6" borderId="14" xfId="3" applyFont="1" applyFill="1" applyBorder="1" applyAlignment="1" applyProtection="1">
      <alignment horizontal="center" vertical="center"/>
    </xf>
    <xf numFmtId="164" fontId="8" fillId="6" borderId="15" xfId="3" applyFont="1" applyFill="1" applyBorder="1" applyAlignment="1" applyProtection="1">
      <alignment horizontal="center" vertical="center"/>
    </xf>
    <xf numFmtId="164" fontId="8" fillId="14" borderId="14" xfId="3" applyFont="1" applyFill="1" applyBorder="1" applyAlignment="1" applyProtection="1">
      <alignment horizontal="center" vertical="center"/>
    </xf>
    <xf numFmtId="168" fontId="12" fillId="16" borderId="1" xfId="0" applyNumberFormat="1" applyFont="1" applyFill="1" applyBorder="1" applyAlignment="1">
      <alignment horizontal="center" vertical="center"/>
    </xf>
    <xf numFmtId="168" fontId="0" fillId="16" borderId="1" xfId="0" applyNumberForma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168" fontId="0" fillId="17" borderId="1" xfId="0" applyNumberFormat="1" applyFill="1" applyBorder="1" applyAlignment="1">
      <alignment horizontal="center" vertical="center"/>
    </xf>
    <xf numFmtId="0" fontId="7" fillId="6" borderId="0" xfId="0" applyFont="1" applyFill="1" applyAlignment="1">
      <alignment vertical="center"/>
    </xf>
    <xf numFmtId="0" fontId="8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8" fillId="0" borderId="1" xfId="0" applyFont="1" applyBorder="1" applyAlignment="1">
      <alignment horizontal="left"/>
    </xf>
    <xf numFmtId="164" fontId="0" fillId="18" borderId="8" xfId="0" applyNumberFormat="1" applyFill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/>
    <xf numFmtId="0" fontId="34" fillId="0" borderId="0" xfId="0" applyFont="1"/>
    <xf numFmtId="0" fontId="22" fillId="0" borderId="0" xfId="0" applyFont="1"/>
    <xf numFmtId="0" fontId="3" fillId="0" borderId="0" xfId="0" applyFont="1" applyAlignment="1">
      <alignment horizontal="lef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 indent="1"/>
    </xf>
    <xf numFmtId="0" fontId="25" fillId="2" borderId="0" xfId="0" applyFont="1" applyFill="1" applyAlignment="1">
      <alignment horizontal="left" vertical="center" indent="1"/>
    </xf>
    <xf numFmtId="167" fontId="7" fillId="0" borderId="0" xfId="0" applyNumberFormat="1" applyFont="1"/>
    <xf numFmtId="168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vertical="center" wrapText="1"/>
    </xf>
    <xf numFmtId="0" fontId="6" fillId="0" borderId="0" xfId="0" applyFont="1"/>
    <xf numFmtId="165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0" fontId="9" fillId="6" borderId="0" xfId="0" applyFont="1" applyFill="1"/>
    <xf numFmtId="168" fontId="7" fillId="6" borderId="0" xfId="0" applyNumberFormat="1" applyFont="1" applyFill="1" applyAlignment="1">
      <alignment vertical="center"/>
    </xf>
    <xf numFmtId="168" fontId="7" fillId="6" borderId="0" xfId="0" applyNumberFormat="1" applyFont="1" applyFill="1"/>
    <xf numFmtId="0" fontId="4" fillId="2" borderId="0" xfId="0" applyFont="1" applyFill="1" applyAlignment="1">
      <alignment horizontal="left" vertical="center" indent="1"/>
    </xf>
    <xf numFmtId="0" fontId="5" fillId="3" borderId="0" xfId="0" applyFont="1" applyFill="1" applyAlignment="1">
      <alignment horizontal="left" vertical="center" indent="1"/>
    </xf>
    <xf numFmtId="0" fontId="35" fillId="13" borderId="8" xfId="0" applyFont="1" applyFill="1" applyBorder="1" applyAlignment="1">
      <alignment horizontal="center" vertical="center"/>
    </xf>
    <xf numFmtId="0" fontId="36" fillId="15" borderId="8" xfId="0" applyFont="1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/>
    </xf>
    <xf numFmtId="0" fontId="37" fillId="6" borderId="12" xfId="0" applyFont="1" applyFill="1" applyBorder="1" applyAlignment="1">
      <alignment horizontal="center" vertical="center"/>
    </xf>
    <xf numFmtId="172" fontId="37" fillId="6" borderId="12" xfId="0" applyNumberFormat="1" applyFont="1" applyFill="1" applyBorder="1" applyAlignment="1">
      <alignment horizontal="center" vertical="center"/>
    </xf>
    <xf numFmtId="0" fontId="37" fillId="6" borderId="13" xfId="0" applyFont="1" applyFill="1" applyBorder="1" applyAlignment="1">
      <alignment horizontal="center" vertical="center"/>
    </xf>
    <xf numFmtId="0" fontId="37" fillId="14" borderId="11" xfId="0" applyFont="1" applyFill="1" applyBorder="1" applyAlignment="1">
      <alignment horizontal="center" vertical="center"/>
    </xf>
    <xf numFmtId="0" fontId="37" fillId="14" borderId="12" xfId="0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1" fillId="0" borderId="0" xfId="4" applyFont="1" applyAlignment="1">
      <alignment horizontal="left"/>
    </xf>
    <xf numFmtId="0" fontId="28" fillId="11" borderId="8" xfId="4" applyFont="1" applyFill="1" applyBorder="1" applyAlignment="1">
      <alignment horizontal="left" vertical="center"/>
    </xf>
    <xf numFmtId="0" fontId="28" fillId="11" borderId="8" xfId="4" applyFont="1" applyFill="1" applyBorder="1" applyAlignment="1">
      <alignment horizontal="left" vertical="center" wrapText="1"/>
    </xf>
    <xf numFmtId="0" fontId="29" fillId="0" borderId="12" xfId="4" applyFont="1" applyBorder="1" applyAlignment="1">
      <alignment horizontal="left"/>
    </xf>
    <xf numFmtId="0" fontId="28" fillId="0" borderId="3" xfId="4" applyFont="1" applyBorder="1" applyAlignment="1">
      <alignment horizontal="left" vertical="center" wrapText="1" indent="1"/>
    </xf>
    <xf numFmtId="0" fontId="28" fillId="0" borderId="4" xfId="4" applyFont="1" applyBorder="1" applyAlignment="1">
      <alignment horizontal="left" vertical="center" wrapText="1" indent="1"/>
    </xf>
    <xf numFmtId="0" fontId="28" fillId="11" borderId="11" xfId="4" applyFont="1" applyFill="1" applyBorder="1" applyAlignment="1">
      <alignment horizontal="left" vertical="center"/>
    </xf>
    <xf numFmtId="0" fontId="28" fillId="11" borderId="13" xfId="4" applyFont="1" applyFill="1" applyBorder="1" applyAlignment="1">
      <alignment horizontal="left" vertical="center"/>
    </xf>
    <xf numFmtId="169" fontId="28" fillId="0" borderId="3" xfId="4" applyNumberFormat="1" applyFont="1" applyBorder="1" applyAlignment="1">
      <alignment horizontal="left" vertical="center" wrapText="1" indent="1"/>
    </xf>
    <xf numFmtId="169" fontId="28" fillId="0" borderId="4" xfId="4" applyNumberFormat="1" applyFont="1" applyBorder="1" applyAlignment="1">
      <alignment horizontal="left" vertical="center" wrapText="1" indent="1"/>
    </xf>
    <xf numFmtId="0" fontId="29" fillId="0" borderId="0" xfId="4" applyFont="1" applyAlignment="1">
      <alignment horizontal="left"/>
    </xf>
    <xf numFmtId="0" fontId="29" fillId="0" borderId="7" xfId="4" applyFont="1" applyBorder="1" applyAlignment="1">
      <alignment horizontal="left"/>
    </xf>
    <xf numFmtId="0" fontId="28" fillId="12" borderId="5" xfId="4" applyFont="1" applyFill="1" applyBorder="1" applyAlignment="1">
      <alignment horizontal="right" vertical="center"/>
    </xf>
    <xf numFmtId="0" fontId="32" fillId="12" borderId="5" xfId="4" applyFont="1" applyFill="1" applyBorder="1" applyAlignment="1">
      <alignment horizontal="right" vertical="center"/>
    </xf>
    <xf numFmtId="0" fontId="8" fillId="9" borderId="1" xfId="0" applyFont="1" applyFill="1" applyBorder="1"/>
  </cellXfs>
  <cellStyles count="7">
    <cellStyle name="Currency" xfId="3" builtinId="4"/>
    <cellStyle name="Currency 2" xfId="5" xr:uid="{00000000-0005-0000-0000-000001000000}"/>
    <cellStyle name="Hyperlink" xfId="1" builtinId="8"/>
    <cellStyle name="Hyperlink 2" xfId="6" xr:uid="{00000000-0005-0000-0000-000003000000}"/>
    <cellStyle name="Normal" xfId="0" builtinId="0"/>
    <cellStyle name="Normal 2" xfId="4" xr:uid="{00000000-0005-0000-0000-000005000000}"/>
    <cellStyle name="Percent" xfId="2" builtinId="5"/>
  </cellStyles>
  <dxfs count="12"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FFF2CC"/>
        </patternFill>
      </fill>
    </dxf>
    <dxf>
      <fill>
        <patternFill>
          <bgColor rgb="FFF8CBAD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FFE699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B7A6E"/>
      <rgbColor rgb="FFB7B7B7"/>
      <rgbColor rgb="FF808080"/>
      <rgbColor rgb="FFA6A6A6"/>
      <rgbColor rgb="FFC0504D"/>
      <rgbColor rgb="FFFFF2CC"/>
      <rgbColor rgb="FFDCE6F1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6E0B4"/>
      <rgbColor rgb="FFFFE699"/>
      <rgbColor rgb="FFD9D9D9"/>
      <rgbColor rgb="FFF9F9F9"/>
      <rgbColor rgb="FFCC99FF"/>
      <rgbColor rgb="FFF8CBAD"/>
      <rgbColor rgb="FF4F81BD"/>
      <rgbColor rgb="FF4BACC6"/>
      <rgbColor rgb="FF9BBB59"/>
      <rgbColor rgb="FFFFCC00"/>
      <rgbColor rgb="FFFF9900"/>
      <rgbColor rgb="FFFF6600"/>
      <rgbColor rgb="FF8064A2"/>
      <rgbColor rgb="FF878787"/>
      <rgbColor rgb="FF1F3864"/>
      <rgbColor rgb="FF339966"/>
      <rgbColor rgb="FF003300"/>
      <rgbColor rgb="FF333300"/>
      <rgbColor rgb="FF993300"/>
      <rgbColor rgb="FF993366"/>
      <rgbColor rgb="FF595959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52</xdr:row>
      <xdr:rowOff>76199</xdr:rowOff>
    </xdr:from>
    <xdr:to>
      <xdr:col>1</xdr:col>
      <xdr:colOff>1609725</xdr:colOff>
      <xdr:row>52</xdr:row>
      <xdr:rowOff>523874</xdr:rowOff>
    </xdr:to>
    <xdr:sp macro="[0]!Module1.SubmitBooking" textlink="">
      <xdr:nvSpPr>
        <xdr:cNvPr id="2" name="SubmitBooking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38125" y="10448924"/>
          <a:ext cx="1581150" cy="447675"/>
        </a:xfrm>
        <a:prstGeom prst="roundRect">
          <a:avLst>
            <a:gd name="adj" fmla="val 16667"/>
          </a:avLst>
        </a:prstGeom>
        <a:solidFill>
          <a:srgbClr val="1F3864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0" tIns="0" rIns="0" bIns="0" anchor="ctr" anchorCtr="1">
          <a:noAutofit/>
        </a:bodyPr>
        <a:lstStyle/>
        <a:p>
          <a:pPr>
            <a:lnSpc>
              <a:spcPct val="100000"/>
            </a:lnSpc>
          </a:pPr>
          <a:r>
            <a:rPr lang="en-US" sz="1100" b="1" strike="noStrike" spc="-1">
              <a:solidFill>
                <a:srgbClr val="FFFFFF"/>
              </a:solidFill>
              <a:latin typeface="Arial"/>
            </a:rPr>
            <a:t>SUBMIT BOOKING</a:t>
          </a:r>
          <a:endParaRPr lang="en-US" sz="11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C9"/>
  </sheetPr>
  <dimension ref="B1:S57"/>
  <sheetViews>
    <sheetView showGridLines="0" tabSelected="1" zoomScale="115" zoomScaleNormal="115" workbookViewId="0">
      <pane ySplit="3" topLeftCell="A32" activePane="bottomLeft" state="frozen"/>
      <selection pane="bottomLeft" activeCell="E36" sqref="E36"/>
    </sheetView>
  </sheetViews>
  <sheetFormatPr defaultColWidth="8.73046875" defaultRowHeight="14.25" x14ac:dyDescent="0.45"/>
  <cols>
    <col min="1" max="1" width="3.1328125" customWidth="1"/>
    <col min="2" max="2" width="33" customWidth="1"/>
    <col min="3" max="3" width="27.86328125" customWidth="1"/>
    <col min="4" max="4" width="26" customWidth="1"/>
    <col min="5" max="5" width="23" customWidth="1"/>
    <col min="6" max="6" width="13.73046875" customWidth="1"/>
    <col min="7" max="7" width="18.1328125" customWidth="1"/>
    <col min="8" max="8" width="16.3984375" customWidth="1"/>
    <col min="9" max="9" width="13.86328125" customWidth="1"/>
    <col min="10" max="10" width="21.86328125" customWidth="1"/>
    <col min="11" max="11" width="10.3984375" customWidth="1"/>
    <col min="12" max="12" width="16.73046875" customWidth="1"/>
    <col min="13" max="13" width="13.1328125" customWidth="1"/>
    <col min="14" max="14" width="15.1328125" customWidth="1"/>
    <col min="15" max="15" width="17.265625" customWidth="1"/>
    <col min="16" max="16" width="13.73046875" customWidth="1"/>
    <col min="17" max="17" width="12.73046875" customWidth="1"/>
    <col min="18" max="18" width="17" customWidth="1"/>
    <col min="19" max="19" width="23.3984375" customWidth="1"/>
    <col min="20" max="20" width="17.1328125" customWidth="1"/>
  </cols>
  <sheetData>
    <row r="1" spans="2:5" ht="37.5" customHeight="1" x14ac:dyDescent="0.45">
      <c r="B1" s="130" t="s">
        <v>27</v>
      </c>
      <c r="C1" s="130"/>
      <c r="D1" s="130"/>
      <c r="E1" s="130"/>
    </row>
    <row r="2" spans="2:5" ht="15.75" customHeight="1" x14ac:dyDescent="0.45">
      <c r="B2" s="131"/>
      <c r="C2" s="131"/>
      <c r="D2" s="131"/>
      <c r="E2" s="131"/>
    </row>
    <row r="3" spans="2:5" ht="15" customHeight="1" x14ac:dyDescent="0.45">
      <c r="B3" s="124"/>
      <c r="C3" s="124"/>
      <c r="D3" s="124"/>
      <c r="E3" s="124"/>
    </row>
    <row r="5" spans="2:5" ht="19.5" customHeight="1" x14ac:dyDescent="0.45">
      <c r="B5" s="118" t="s">
        <v>28</v>
      </c>
      <c r="C5" s="118"/>
      <c r="D5" s="118"/>
      <c r="E5" s="118"/>
    </row>
    <row r="6" spans="2:5" x14ac:dyDescent="0.45">
      <c r="B6" s="1" t="s">
        <v>123</v>
      </c>
      <c r="C6" s="31" t="s">
        <v>40</v>
      </c>
      <c r="D6" s="2" t="s">
        <v>10</v>
      </c>
      <c r="E6" s="2">
        <f>IFERROR(MATCH($C$6,Reservation!$A$5:$A$500,0),IFERROR(MATCH($C$6,Reservation!$B$5:$B$500,0),""))</f>
        <v>1</v>
      </c>
    </row>
    <row r="7" spans="2:5" x14ac:dyDescent="0.45">
      <c r="B7" s="1" t="s">
        <v>4</v>
      </c>
      <c r="C7" s="126" t="str">
        <f>IFERROR(INDEX(Reservation!A$5:A$500,$E$6),"")</f>
        <v>BK-0001</v>
      </c>
      <c r="D7" s="126"/>
      <c r="E7" s="126"/>
    </row>
    <row r="8" spans="2:5" x14ac:dyDescent="0.45">
      <c r="B8" s="1" t="s">
        <v>5</v>
      </c>
      <c r="C8" s="126" t="str">
        <f>IFERROR(INDEX(Reservation!B$5:B$500,$E$6),"")</f>
        <v>ខាងម៉ូតូត្រៃ</v>
      </c>
      <c r="D8" s="126"/>
      <c r="E8" s="126"/>
    </row>
    <row r="9" spans="2:5" x14ac:dyDescent="0.45">
      <c r="B9" s="1" t="s">
        <v>11</v>
      </c>
      <c r="C9" s="126">
        <f>IFERROR(INDEX(Reservation!C$5:C$500,$E$6),"")</f>
        <v>0</v>
      </c>
      <c r="D9" s="126"/>
      <c r="E9" s="126"/>
    </row>
    <row r="10" spans="2:5" x14ac:dyDescent="0.45">
      <c r="B10" s="1" t="s">
        <v>12</v>
      </c>
      <c r="C10" s="126">
        <f>IFERROR(INDEX(Reservation!D$5:D$500,$E$6),"")</f>
        <v>0</v>
      </c>
      <c r="D10" s="126"/>
      <c r="E10" s="126"/>
    </row>
    <row r="11" spans="2:5" x14ac:dyDescent="0.45">
      <c r="B11" s="1" t="s">
        <v>1</v>
      </c>
      <c r="C11" s="126" t="str">
        <f>IFERROR(INDEX(Reservation!E$5:E$500,$E$6)&amp;" - "&amp;IFERROR(INDEX(#REF!,MATCH(INDEX(Reservation!E$5:E$500,$E$6),#REF!,0)),""),"")</f>
        <v xml:space="preserve">OHS-01 - </v>
      </c>
      <c r="D11" s="126"/>
      <c r="E11" s="126"/>
    </row>
    <row r="12" spans="2:5" x14ac:dyDescent="0.45">
      <c r="B12" s="1" t="s">
        <v>6</v>
      </c>
      <c r="C12" s="125">
        <f>IFERROR(INDEX(Reservation!F$5:F$500,$E$6),"")</f>
        <v>46102</v>
      </c>
      <c r="D12" s="125"/>
      <c r="E12" s="125"/>
    </row>
    <row r="13" spans="2:5" x14ac:dyDescent="0.45">
      <c r="B13" s="1" t="s">
        <v>7</v>
      </c>
      <c r="C13" s="125">
        <f>IFERROR(INDEX(Reservation!G$5:G$500,$E$6),"")</f>
        <v>46103</v>
      </c>
      <c r="D13" s="125"/>
      <c r="E13" s="125"/>
    </row>
    <row r="14" spans="2:5" x14ac:dyDescent="0.45">
      <c r="B14" s="1" t="s">
        <v>8</v>
      </c>
      <c r="C14" s="126">
        <f>IFERROR(INDEX(Reservation!H$5:H$500,$E$6),"")</f>
        <v>1</v>
      </c>
      <c r="D14" s="126"/>
      <c r="E14" s="126"/>
    </row>
    <row r="15" spans="2:5" x14ac:dyDescent="0.45">
      <c r="B15" s="1" t="s">
        <v>13</v>
      </c>
      <c r="C15" s="121" t="str">
        <f>IFERROR(INDEX(Reservation!I$5:I$500,$E$6),"")</f>
        <v/>
      </c>
      <c r="D15" s="121"/>
      <c r="E15" s="121"/>
    </row>
    <row r="16" spans="2:5" x14ac:dyDescent="0.45">
      <c r="B16" s="1" t="s">
        <v>58</v>
      </c>
      <c r="C16" s="121">
        <f>IFERROR(INDEX(Reservation!AL$5:AL$500,$E$6),"")</f>
        <v>0</v>
      </c>
      <c r="D16" s="121"/>
      <c r="E16" s="121"/>
    </row>
    <row r="17" spans="2:16" x14ac:dyDescent="0.45">
      <c r="B17" s="1" t="s">
        <v>59</v>
      </c>
      <c r="C17" s="121">
        <f>IFERROR(INDEX(Reservation!BB$5:BB$500,$E$6),"")</f>
        <v>0</v>
      </c>
      <c r="D17" s="121"/>
      <c r="E17" s="121"/>
    </row>
    <row r="18" spans="2:16" x14ac:dyDescent="0.45">
      <c r="B18" s="1" t="s">
        <v>14</v>
      </c>
      <c r="C18" s="122">
        <f>IFERROR(INDEX(Reservation!J$5:J$500,$E$6),"")</f>
        <v>10</v>
      </c>
      <c r="D18" s="122"/>
      <c r="E18" s="122"/>
    </row>
    <row r="19" spans="2:16" x14ac:dyDescent="0.45">
      <c r="B19" s="28" t="s">
        <v>15</v>
      </c>
      <c r="C19" s="129" t="str">
        <f>IFERROR(INDEX(Reservation!K$5:K$500,$E$6),"")</f>
        <v/>
      </c>
      <c r="D19" s="129"/>
      <c r="E19" s="129"/>
    </row>
    <row r="20" spans="2:16" x14ac:dyDescent="0.45">
      <c r="B20" s="1" t="s">
        <v>16</v>
      </c>
      <c r="C20" s="120">
        <f>IFERROR(INDEX(Reservation!L$5:L$500,$E$6),"")</f>
        <v>0.28000000000000003</v>
      </c>
      <c r="D20" s="120"/>
      <c r="E20" s="120"/>
    </row>
    <row r="21" spans="2:16" x14ac:dyDescent="0.45">
      <c r="B21" s="1" t="s">
        <v>9</v>
      </c>
      <c r="C21" s="121" t="str">
        <f>IFERROR(INDEX(Reservation!M$5:M$500,$E$6),"")</f>
        <v/>
      </c>
      <c r="D21" s="121"/>
      <c r="E21" s="121"/>
    </row>
    <row r="22" spans="2:16" x14ac:dyDescent="0.45">
      <c r="B22" s="1" t="s">
        <v>17</v>
      </c>
      <c r="C22" s="121">
        <f>IFERROR(INDEX(Reservation!N$5:N$500,$E$6),"")</f>
        <v>0</v>
      </c>
      <c r="D22" s="121"/>
      <c r="E22" s="121"/>
    </row>
    <row r="23" spans="2:16" x14ac:dyDescent="0.45">
      <c r="B23" s="1" t="s">
        <v>18</v>
      </c>
      <c r="C23" s="121" t="str">
        <f>IFERROR(INDEX(Reservation!O$5:O$500,$E$6),"")</f>
        <v/>
      </c>
      <c r="D23" s="121"/>
      <c r="E23" s="121"/>
    </row>
    <row r="24" spans="2:16" x14ac:dyDescent="0.45">
      <c r="B24" s="1" t="s">
        <v>0</v>
      </c>
      <c r="C24" s="122" t="str">
        <f>IFERROR(INDEX(Reservation!P$5:P$500,$E$6),"")</f>
        <v>Confirmed</v>
      </c>
      <c r="D24" s="122"/>
      <c r="E24" s="122"/>
    </row>
    <row r="25" spans="2:16" x14ac:dyDescent="0.45">
      <c r="B25" s="1" t="s">
        <v>19</v>
      </c>
      <c r="C25" s="125">
        <f>IFERROR(INDEX(Reservation!Q$5:Q$500,$E$6),"")</f>
        <v>0</v>
      </c>
      <c r="D25" s="125"/>
      <c r="E25" s="125"/>
    </row>
    <row r="26" spans="2:16" x14ac:dyDescent="0.45">
      <c r="B26" s="1" t="s">
        <v>20</v>
      </c>
      <c r="C26" s="126">
        <f>IFERROR(INDEX(Reservation!R$5:R$500,$E$6),"")</f>
        <v>0</v>
      </c>
      <c r="D26" s="126"/>
      <c r="E26" s="126"/>
    </row>
    <row r="27" spans="2:16" ht="19.5" customHeight="1" x14ac:dyDescent="0.45">
      <c r="B27" s="106" t="s">
        <v>9</v>
      </c>
      <c r="C27" s="128" t="str">
        <f>IFERROR(INDEX(Reservation!BC$5:BC$500,$E$6),"")</f>
        <v/>
      </c>
      <c r="D27" s="128"/>
      <c r="E27" s="128"/>
    </row>
    <row r="28" spans="2:16" ht="19.5" customHeight="1" x14ac:dyDescent="0.45">
      <c r="B28" s="118" t="s">
        <v>29</v>
      </c>
      <c r="C28" s="118"/>
      <c r="D28" s="118"/>
      <c r="E28" s="118"/>
      <c r="G28" s="118" t="s">
        <v>60</v>
      </c>
      <c r="H28" s="119"/>
      <c r="I28" s="119"/>
      <c r="J28" s="119"/>
      <c r="L28" s="117" t="s">
        <v>61</v>
      </c>
      <c r="M28" s="117"/>
      <c r="N28" s="117"/>
      <c r="O28" s="117"/>
      <c r="P28" s="117"/>
    </row>
    <row r="29" spans="2:16" ht="15" customHeight="1" x14ac:dyDescent="0.45">
      <c r="G29" s="69" t="s">
        <v>86</v>
      </c>
      <c r="H29" s="37" t="s">
        <v>39</v>
      </c>
      <c r="I29" s="68" t="s">
        <v>70</v>
      </c>
      <c r="L29" s="69" t="s">
        <v>86</v>
      </c>
      <c r="M29" s="37" t="s">
        <v>39</v>
      </c>
      <c r="N29" s="68" t="s">
        <v>70</v>
      </c>
    </row>
    <row r="30" spans="2:16" x14ac:dyDescent="0.45">
      <c r="B30" s="1" t="s">
        <v>21</v>
      </c>
      <c r="C30" s="30" t="str">
        <f>CONCATENATE("BK-",TEXT(COUNTA(Reservation!$B$5:$B$500)+1,"0000"))</f>
        <v>BK-0021</v>
      </c>
    </row>
    <row r="31" spans="2:16" ht="16.5" customHeight="1" x14ac:dyDescent="0.45">
      <c r="B31" s="1" t="s">
        <v>5</v>
      </c>
      <c r="C31" s="25"/>
      <c r="G31" s="155" t="s">
        <v>100</v>
      </c>
      <c r="H31" s="67"/>
      <c r="I31" s="64">
        <f>IF(OR(G31="",H31=""),0,IFERROR(INDEX(#REF!,MATCH(G31,#REF!,0))*H31,0))</f>
        <v>0</v>
      </c>
      <c r="J31" s="116" t="str">
        <f>IFERROR(INDEX(#REF!,MATCH(G31,#REF!,0)),"choose from: ACT-01 to ACT-06")</f>
        <v>choose from: ACT-01 to ACT-06</v>
      </c>
      <c r="K31" s="116"/>
      <c r="L31" s="36"/>
      <c r="M31" s="67"/>
      <c r="N31" s="64">
        <f>IF(OR(L31="",M31=""),0,IFERROR(INDEX(#REF!,MATCH(L31,#REF!,0))*M31,0))</f>
        <v>0</v>
      </c>
      <c r="O31" s="116" t="str">
        <f>IFERROR(INDEX(#REF!,MATCH(L31,#REF!,0)),"choose from: FNB-01 to VNF-05")</f>
        <v>choose from: FNB-01 to VNF-05</v>
      </c>
      <c r="P31" s="116"/>
    </row>
    <row r="32" spans="2:16" ht="16.5" customHeight="1" x14ac:dyDescent="0.45">
      <c r="B32" s="1" t="s">
        <v>11</v>
      </c>
      <c r="C32" s="26"/>
      <c r="G32" s="36"/>
      <c r="H32" s="67"/>
      <c r="I32" s="64">
        <f>IF(OR(G32="",H32=""),0,IFERROR(INDEX(#REF!,MATCH(G32,#REF!,0))*H32,0))</f>
        <v>0</v>
      </c>
      <c r="J32" s="116" t="str">
        <f>IFERROR(INDEX(#REF!,MATCH(G32,#REF!,0)),"choose from: ACT-01 to ACT-06")</f>
        <v>choose from: ACT-01 to ACT-06</v>
      </c>
      <c r="K32" s="116"/>
      <c r="L32" s="36"/>
      <c r="M32" s="67"/>
      <c r="N32" s="64">
        <f>IF(OR(L32="",M32=""),0,IFERROR(INDEX(#REF!,MATCH(L32,#REF!,0))*M32,0))</f>
        <v>0</v>
      </c>
      <c r="O32" s="116" t="str">
        <f>IFERROR(INDEX(#REF!,MATCH(L32,#REF!,0)),"choose from: FNB-01 to VNF-05")</f>
        <v>choose from: FNB-01 to VNF-05</v>
      </c>
      <c r="P32" s="116"/>
    </row>
    <row r="33" spans="2:16" ht="16.5" customHeight="1" x14ac:dyDescent="0.45">
      <c r="B33" s="1" t="s">
        <v>12</v>
      </c>
      <c r="C33" s="14"/>
      <c r="G33" s="36"/>
      <c r="H33" s="67"/>
      <c r="I33" s="64">
        <f>IF(OR(G33="",H33=""),0,IFERROR(INDEX(#REF!,MATCH(G33,#REF!,0))*H33,0))</f>
        <v>0</v>
      </c>
      <c r="J33" s="116" t="str">
        <f>IFERROR(INDEX(#REF!,MATCH(G33,#REF!,0)),"choose from: ACT-01 to ACT-06")</f>
        <v>choose from: ACT-01 to ACT-06</v>
      </c>
      <c r="K33" s="116"/>
      <c r="L33" s="36"/>
      <c r="M33" s="67"/>
      <c r="N33" s="64">
        <f>IF(OR(L33="",M33=""),0,IFERROR(INDEX(#REF!,MATCH(L33,#REF!,0))*M33,0))</f>
        <v>0</v>
      </c>
      <c r="O33" s="116" t="str">
        <f>IFERROR(INDEX(#REF!,MATCH(L33,#REF!,0)),"choose from: FNB-01 to VNF-05")</f>
        <v>choose from: FNB-01 to VNF-05</v>
      </c>
      <c r="P33" s="116"/>
    </row>
    <row r="34" spans="2:16" ht="16.5" customHeight="1" x14ac:dyDescent="0.45">
      <c r="B34" s="1" t="s">
        <v>22</v>
      </c>
      <c r="C34" s="17"/>
      <c r="D34" s="113" t="str">
        <f>IFERROR(INDEX(#REF!,MATCH(C34,#REF!,0)),"choose from: OHS-01 to OPV-05")</f>
        <v>choose from: OHS-01 to OPV-05</v>
      </c>
      <c r="E34" s="113"/>
      <c r="G34" s="36"/>
      <c r="H34" s="67"/>
      <c r="I34" s="64">
        <f>IF(OR(G34="",H34=""),0,IFERROR(INDEX(#REF!,MATCH(G34,#REF!,0))*H34,0))</f>
        <v>0</v>
      </c>
      <c r="J34" s="116" t="str">
        <f>IFERROR(INDEX(#REF!,MATCH(G34,#REF!,0)),"choose from: ACT-01 to ACT-06")</f>
        <v>choose from: ACT-01 to ACT-06</v>
      </c>
      <c r="K34" s="116"/>
      <c r="L34" s="36"/>
      <c r="M34" s="67"/>
      <c r="N34" s="64">
        <f>IF(OR(L34="",M34=""),0,IFERROR(INDEX(#REF!,MATCH(L34,#REF!,0))*M34,0))</f>
        <v>0</v>
      </c>
      <c r="O34" s="116" t="str">
        <f>IFERROR(INDEX(#REF!,MATCH(L34,#REF!,0)),"choose from: FNB-01 to VNF-05")</f>
        <v>choose from: FNB-01 to VNF-05</v>
      </c>
      <c r="P34" s="116"/>
    </row>
    <row r="35" spans="2:16" ht="16.5" customHeight="1" x14ac:dyDescent="0.45">
      <c r="B35" s="1" t="s">
        <v>6</v>
      </c>
      <c r="C35" s="15"/>
      <c r="G35" s="36"/>
      <c r="H35" s="67"/>
      <c r="I35" s="64">
        <f>IF(OR(G35="",H35=""),0,IFERROR(INDEX(#REF!,MATCH(G35,#REF!,0))*H35,0))</f>
        <v>0</v>
      </c>
      <c r="J35" s="116" t="str">
        <f>IFERROR(INDEX(#REF!,MATCH(G35,#REF!,0)),"choose from: ACT-01 to ACT-06")</f>
        <v>choose from: ACT-01 to ACT-06</v>
      </c>
      <c r="K35" s="116"/>
      <c r="L35" s="36"/>
      <c r="M35" s="67"/>
      <c r="N35" s="64">
        <f>IF(OR(L35="",M35=""),0,IFERROR(INDEX(#REF!,MATCH(L35,#REF!,0))*M35,0))</f>
        <v>0</v>
      </c>
      <c r="O35" s="116" t="str">
        <f>IFERROR(INDEX(#REF!,MATCH(L35,#REF!,0)),"choose from: FNB-01 to VNF-05")</f>
        <v>choose from: FNB-01 to VNF-05</v>
      </c>
      <c r="P35" s="116"/>
    </row>
    <row r="36" spans="2:16" ht="16.5" customHeight="1" x14ac:dyDescent="0.45">
      <c r="B36" s="1" t="s">
        <v>7</v>
      </c>
      <c r="C36" s="15"/>
      <c r="G36" s="36"/>
      <c r="H36" s="67"/>
      <c r="I36" s="64">
        <f>IF(OR(G36="",H36=""),0,IFERROR(INDEX(#REF!,MATCH(G36,#REF!,0))*H36,0))</f>
        <v>0</v>
      </c>
      <c r="J36" s="116" t="str">
        <f>IFERROR(INDEX(#REF!,MATCH(G36,#REF!,0)),"choose from: ACT-01 to ACT-06")</f>
        <v>choose from: ACT-01 to ACT-06</v>
      </c>
      <c r="K36" s="116"/>
      <c r="N36" s="65"/>
    </row>
    <row r="37" spans="2:16" ht="16.5" customHeight="1" x14ac:dyDescent="0.45">
      <c r="B37" s="1" t="s">
        <v>14</v>
      </c>
      <c r="C37" s="11"/>
      <c r="I37" s="65"/>
      <c r="L37" s="114" t="s">
        <v>63</v>
      </c>
      <c r="M37" s="115"/>
      <c r="N37" s="66">
        <f>N31+N32+N33+N34+N35</f>
        <v>0</v>
      </c>
    </row>
    <row r="38" spans="2:16" ht="16.5" customHeight="1" x14ac:dyDescent="0.45">
      <c r="B38" s="1" t="s">
        <v>16</v>
      </c>
      <c r="C38" s="12"/>
      <c r="G38" s="114" t="s">
        <v>62</v>
      </c>
      <c r="H38" s="115"/>
      <c r="I38" s="66">
        <f>I31+I32+I33+I34+I35+I36</f>
        <v>0</v>
      </c>
    </row>
    <row r="39" spans="2:16" ht="16.5" customHeight="1" x14ac:dyDescent="0.45">
      <c r="B39" s="1" t="s">
        <v>17</v>
      </c>
      <c r="C39" s="13"/>
    </row>
    <row r="40" spans="2:16" ht="16.5" customHeight="1" x14ac:dyDescent="0.45">
      <c r="B40" s="1" t="s">
        <v>0</v>
      </c>
      <c r="C40" s="17"/>
    </row>
    <row r="41" spans="2:16" ht="16.5" customHeight="1" x14ac:dyDescent="0.45">
      <c r="B41" s="1" t="s">
        <v>19</v>
      </c>
      <c r="C41" s="15"/>
    </row>
    <row r="42" spans="2:16" ht="16.5" customHeight="1" x14ac:dyDescent="0.45">
      <c r="B42" s="1" t="s">
        <v>20</v>
      </c>
      <c r="C42" s="11"/>
    </row>
    <row r="44" spans="2:16" ht="15" customHeight="1" x14ac:dyDescent="0.45">
      <c r="B44" s="127"/>
      <c r="C44" s="127"/>
      <c r="D44" s="127"/>
      <c r="E44" s="127"/>
    </row>
    <row r="45" spans="2:16" x14ac:dyDescent="0.45">
      <c r="B45" s="1" t="s">
        <v>8</v>
      </c>
      <c r="C45" s="1" t="str">
        <f>IF(AND(C35&lt;&gt;"",C36&lt;&gt;""),C36-C35,"")</f>
        <v/>
      </c>
    </row>
    <row r="46" spans="2:16" x14ac:dyDescent="0.45">
      <c r="B46" s="1" t="s">
        <v>13</v>
      </c>
      <c r="C46" s="3" t="str">
        <f>IFERROR(INDEX(#REF!,MATCH(C34,#REF!,0)),"")</f>
        <v/>
      </c>
    </row>
    <row r="47" spans="2:16" x14ac:dyDescent="0.45">
      <c r="B47" s="1" t="s">
        <v>15</v>
      </c>
      <c r="C47" s="3" t="str">
        <f>IF(AND(ISNUMBER(C45),ISNUMBER(C46)),C45*C46,"")</f>
        <v/>
      </c>
    </row>
    <row r="48" spans="2:16" x14ac:dyDescent="0.45">
      <c r="B48" s="1" t="s">
        <v>9</v>
      </c>
      <c r="C48" s="3" t="str">
        <f>IF(ISNUMBER(C47),C47*(1-C38),"")</f>
        <v/>
      </c>
    </row>
    <row r="49" spans="2:19" x14ac:dyDescent="0.45">
      <c r="B49" s="1" t="s">
        <v>18</v>
      </c>
      <c r="C49" s="3" t="str">
        <f>IF(ISNUMBER(C48),C48-C39,"")</f>
        <v/>
      </c>
    </row>
    <row r="51" spans="2:19" ht="19.5" customHeight="1" x14ac:dyDescent="0.45">
      <c r="B51" s="118" t="s">
        <v>30</v>
      </c>
      <c r="C51" s="118"/>
      <c r="D51" s="118"/>
      <c r="E51" s="118"/>
    </row>
    <row r="52" spans="2:19" x14ac:dyDescent="0.45">
      <c r="B52" s="1" t="s">
        <v>23</v>
      </c>
      <c r="C52" s="32">
        <f>COUNTA(Reservation!$B$5:$B$500)+5</f>
        <v>25</v>
      </c>
    </row>
    <row r="53" spans="2:19" ht="51" customHeight="1" x14ac:dyDescent="0.45">
      <c r="B53" s="123"/>
      <c r="C53" s="123"/>
    </row>
    <row r="54" spans="2:19" ht="30" customHeight="1" x14ac:dyDescent="0.45">
      <c r="B54" s="4" t="s">
        <v>4</v>
      </c>
      <c r="C54" s="4" t="s">
        <v>5</v>
      </c>
      <c r="D54" s="4" t="s">
        <v>11</v>
      </c>
      <c r="E54" s="4" t="s">
        <v>12</v>
      </c>
      <c r="F54" s="4" t="s">
        <v>1</v>
      </c>
      <c r="G54" s="4" t="s">
        <v>6</v>
      </c>
      <c r="H54" s="4" t="s">
        <v>7</v>
      </c>
      <c r="I54" s="4" t="s">
        <v>8</v>
      </c>
      <c r="J54" s="4" t="s">
        <v>13</v>
      </c>
      <c r="K54" s="4" t="s">
        <v>14</v>
      </c>
      <c r="L54" s="4" t="s">
        <v>15</v>
      </c>
      <c r="M54" s="4" t="s">
        <v>16</v>
      </c>
      <c r="N54" s="4" t="s">
        <v>9</v>
      </c>
      <c r="O54" s="4" t="s">
        <v>17</v>
      </c>
      <c r="P54" s="4" t="s">
        <v>18</v>
      </c>
      <c r="Q54" s="4" t="s">
        <v>0</v>
      </c>
      <c r="R54" s="4" t="s">
        <v>19</v>
      </c>
      <c r="S54" s="4" t="s">
        <v>20</v>
      </c>
    </row>
    <row r="55" spans="2:19" s="18" customFormat="1" ht="23.25" customHeight="1" x14ac:dyDescent="0.45">
      <c r="B55" s="19" t="str">
        <f>C30</f>
        <v>BK-0021</v>
      </c>
      <c r="C55" s="86">
        <f>C31</f>
        <v>0</v>
      </c>
      <c r="D55" s="20">
        <f>C32</f>
        <v>0</v>
      </c>
      <c r="E55" s="19">
        <f>C33</f>
        <v>0</v>
      </c>
      <c r="F55" s="19">
        <f>C34</f>
        <v>0</v>
      </c>
      <c r="G55" s="21">
        <f>C35</f>
        <v>0</v>
      </c>
      <c r="H55" s="21">
        <f>C36</f>
        <v>0</v>
      </c>
      <c r="I55" s="19" t="str">
        <f>C45</f>
        <v/>
      </c>
      <c r="J55" s="70" t="str">
        <f>C46</f>
        <v/>
      </c>
      <c r="K55" s="19">
        <f>C37</f>
        <v>0</v>
      </c>
      <c r="L55" s="70" t="str">
        <f>C47</f>
        <v/>
      </c>
      <c r="M55" s="22">
        <f>C38</f>
        <v>0</v>
      </c>
      <c r="N55" s="70" t="str">
        <f>C48</f>
        <v/>
      </c>
      <c r="O55" s="70">
        <f>C39</f>
        <v>0</v>
      </c>
      <c r="P55" s="70" t="str">
        <f>C49</f>
        <v/>
      </c>
      <c r="Q55" s="19">
        <f>C40</f>
        <v>0</v>
      </c>
      <c r="R55" s="21">
        <f>C41</f>
        <v>0</v>
      </c>
      <c r="S55" s="19">
        <f>C42</f>
        <v>0</v>
      </c>
    </row>
    <row r="57" spans="2:19" x14ac:dyDescent="0.45">
      <c r="B57" s="124"/>
      <c r="C57" s="124"/>
      <c r="D57" s="124"/>
      <c r="E57" s="124"/>
    </row>
  </sheetData>
  <mergeCells count="46">
    <mergeCell ref="B1:E1"/>
    <mergeCell ref="B2:E2"/>
    <mergeCell ref="B3:E3"/>
    <mergeCell ref="B5:E5"/>
    <mergeCell ref="C7:E7"/>
    <mergeCell ref="C8:E8"/>
    <mergeCell ref="C9:E9"/>
    <mergeCell ref="C10:E10"/>
    <mergeCell ref="C11:E11"/>
    <mergeCell ref="C12:E12"/>
    <mergeCell ref="C13:E13"/>
    <mergeCell ref="C14:E14"/>
    <mergeCell ref="C15:E15"/>
    <mergeCell ref="C18:E18"/>
    <mergeCell ref="C19:E19"/>
    <mergeCell ref="C16:E16"/>
    <mergeCell ref="C17:E17"/>
    <mergeCell ref="B51:E51"/>
    <mergeCell ref="B53:C53"/>
    <mergeCell ref="B57:E57"/>
    <mergeCell ref="C25:E25"/>
    <mergeCell ref="C26:E26"/>
    <mergeCell ref="B28:E28"/>
    <mergeCell ref="D34:E34"/>
    <mergeCell ref="B44:E44"/>
    <mergeCell ref="C27:E27"/>
    <mergeCell ref="C20:E20"/>
    <mergeCell ref="C21:E21"/>
    <mergeCell ref="C22:E22"/>
    <mergeCell ref="C23:E23"/>
    <mergeCell ref="C24:E24"/>
    <mergeCell ref="G38:H38"/>
    <mergeCell ref="L37:M37"/>
    <mergeCell ref="O31:P31"/>
    <mergeCell ref="L28:P28"/>
    <mergeCell ref="O32:P32"/>
    <mergeCell ref="O33:P33"/>
    <mergeCell ref="O34:P34"/>
    <mergeCell ref="J36:K36"/>
    <mergeCell ref="O35:P35"/>
    <mergeCell ref="J31:K31"/>
    <mergeCell ref="J32:K32"/>
    <mergeCell ref="J33:K33"/>
    <mergeCell ref="J34:K34"/>
    <mergeCell ref="J35:K35"/>
    <mergeCell ref="G28:J28"/>
  </mergeCells>
  <dataValidations count="1">
    <dataValidation type="list" allowBlank="1" sqref="C40" xr:uid="{00000000-0002-0000-0100-000000000000}">
      <formula1>"Pending,Confirmed,Checked-in,Checked-out,Cancelled"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100-000001000000}">
          <x14:formula1>
            <xm:f>#REF!</xm:f>
          </x14:formula1>
          <x14:formula2>
            <xm:f>0</xm:f>
          </x14:formula2>
          <xm:sqref>C34</xm:sqref>
        </x14:dataValidation>
        <x14:dataValidation type="list" allowBlank="1" showInputMessage="1" showErrorMessage="1" xr:uid="{00000000-0002-0000-0100-000002000000}">
          <x14:formula1>
            <xm:f>Reservation!$A$5:$A$500</xm:f>
          </x14:formula1>
          <xm:sqref>C6</xm:sqref>
        </x14:dataValidation>
        <x14:dataValidation type="list" allowBlank="1" xr:uid="{00000000-0002-0000-0100-000003000000}">
          <x14:formula1>
            <xm:f>#REF!</xm:f>
          </x14:formula1>
          <xm:sqref>L31:L35</xm:sqref>
        </x14:dataValidation>
        <x14:dataValidation type="list" allowBlank="1" xr:uid="{00000000-0002-0000-0100-000004000000}">
          <x14:formula1>
            <xm:f>#REF!</xm:f>
          </x14:formula1>
          <xm:sqref>G31:G36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BD500"/>
  <sheetViews>
    <sheetView showGridLines="0" zoomScale="85" zoomScaleNormal="85" workbookViewId="0">
      <pane xSplit="2" ySplit="4" topLeftCell="C11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defaultColWidth="8.73046875" defaultRowHeight="14.25" x14ac:dyDescent="0.45"/>
  <cols>
    <col min="1" max="1" width="14" customWidth="1"/>
    <col min="2" max="2" width="18.73046875" customWidth="1"/>
    <col min="3" max="3" width="20.1328125" style="108" customWidth="1"/>
    <col min="4" max="4" width="24.59765625" style="65" customWidth="1"/>
    <col min="5" max="5" width="14.59765625" style="65" customWidth="1"/>
    <col min="6" max="7" width="14.73046875" style="65" customWidth="1"/>
    <col min="8" max="8" width="12" style="65" customWidth="1"/>
    <col min="9" max="9" width="16.73046875" style="65" customWidth="1"/>
    <col min="10" max="10" width="10.265625" style="65" customWidth="1"/>
    <col min="11" max="11" width="15.265625" style="65" customWidth="1"/>
    <col min="12" max="12" width="12.86328125" style="65" customWidth="1"/>
    <col min="13" max="13" width="18" style="65" customWidth="1"/>
    <col min="14" max="14" width="16.1328125" style="65" customWidth="1"/>
    <col min="15" max="15" width="15.86328125" style="65" customWidth="1"/>
    <col min="16" max="16" width="17.3984375" style="65" customWidth="1"/>
    <col min="17" max="17" width="20.73046875" style="65" customWidth="1"/>
    <col min="18" max="18" width="38.1328125" style="108" customWidth="1"/>
    <col min="19" max="19" width="33.265625" style="27" customWidth="1"/>
    <col min="20" max="20" width="11" style="65" customWidth="1"/>
    <col min="21" max="21" width="7.265625" style="111" customWidth="1"/>
    <col min="22" max="23" width="11" style="65" customWidth="1"/>
    <col min="24" max="24" width="6" style="111" customWidth="1"/>
    <col min="25" max="26" width="11" style="65" customWidth="1"/>
    <col min="27" max="27" width="6" style="111" customWidth="1"/>
    <col min="28" max="29" width="11" style="65" customWidth="1"/>
    <col min="30" max="30" width="6" style="111" customWidth="1"/>
    <col min="31" max="32" width="11" style="65" customWidth="1"/>
    <col min="33" max="33" width="6" style="111" customWidth="1"/>
    <col min="34" max="35" width="11" style="65" customWidth="1"/>
    <col min="36" max="36" width="6" style="111" customWidth="1"/>
    <col min="37" max="37" width="11" style="65" customWidth="1"/>
    <col min="38" max="38" width="15.59765625" style="65" customWidth="1"/>
    <col min="39" max="39" width="10.3984375" style="65" customWidth="1"/>
    <col min="40" max="40" width="6" style="112" customWidth="1"/>
    <col min="41" max="42" width="10.3984375" style="65" customWidth="1"/>
    <col min="43" max="43" width="6" style="111" customWidth="1"/>
    <col min="44" max="45" width="10.3984375" style="65" customWidth="1"/>
    <col min="46" max="46" width="6" style="111" customWidth="1"/>
    <col min="47" max="48" width="10.3984375" style="65" customWidth="1"/>
    <col min="49" max="49" width="6" style="111" customWidth="1"/>
    <col min="50" max="51" width="10.3984375" style="65" customWidth="1"/>
    <col min="52" max="52" width="6" style="111" customWidth="1"/>
    <col min="53" max="53" width="10.3984375" style="65" customWidth="1"/>
    <col min="54" max="54" width="14.86328125" style="65" customWidth="1"/>
    <col min="55" max="55" width="19.73046875" style="65" customWidth="1"/>
    <col min="56" max="56" width="33.86328125" customWidth="1"/>
  </cols>
  <sheetData>
    <row r="1" spans="1:56" ht="30" customHeight="1" x14ac:dyDescent="0.45">
      <c r="A1" s="130" t="s">
        <v>92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T1" s="27"/>
      <c r="U1" s="73"/>
      <c r="V1" s="27"/>
      <c r="W1" s="27"/>
      <c r="X1" s="73"/>
      <c r="Y1" s="27"/>
      <c r="Z1" s="27"/>
      <c r="AA1" s="73"/>
      <c r="AB1" s="27"/>
      <c r="AC1" s="27"/>
      <c r="AD1" s="73"/>
      <c r="AE1" s="27"/>
      <c r="AF1" s="27"/>
      <c r="AG1" s="73"/>
      <c r="AH1" s="27"/>
      <c r="AI1" s="27"/>
      <c r="AJ1" s="73"/>
      <c r="AK1" s="27"/>
      <c r="AL1" s="27"/>
      <c r="AM1" s="27"/>
      <c r="AN1" s="71"/>
      <c r="AO1" s="27"/>
      <c r="AP1" s="27"/>
      <c r="AQ1" s="73"/>
      <c r="AR1" s="27"/>
      <c r="AS1" s="27"/>
      <c r="AT1" s="73"/>
      <c r="AU1" s="27"/>
      <c r="AV1" s="27"/>
      <c r="AW1" s="73"/>
      <c r="AX1" s="27"/>
      <c r="AY1" s="27"/>
      <c r="AZ1" s="73"/>
      <c r="BA1" s="27"/>
      <c r="BB1" s="27"/>
    </row>
    <row r="2" spans="1:56" ht="15.75" customHeight="1" x14ac:dyDescent="0.45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T2" s="27"/>
      <c r="U2" s="73"/>
      <c r="V2" s="27"/>
      <c r="W2" s="27"/>
      <c r="X2" s="73"/>
      <c r="Y2" s="27"/>
      <c r="Z2" s="27"/>
      <c r="AA2" s="73"/>
      <c r="AB2" s="27"/>
      <c r="AC2" s="27"/>
      <c r="AD2" s="73"/>
      <c r="AE2" s="27"/>
      <c r="AF2" s="27"/>
      <c r="AG2" s="73"/>
      <c r="AH2" s="27"/>
      <c r="AI2" s="27"/>
      <c r="AJ2" s="73"/>
      <c r="AK2" s="27"/>
      <c r="AL2" s="27"/>
      <c r="AM2" s="27"/>
      <c r="AN2" s="71"/>
      <c r="AO2" s="27"/>
      <c r="AP2" s="27"/>
      <c r="AQ2" s="73"/>
      <c r="AR2" s="27"/>
      <c r="AS2" s="27"/>
      <c r="AT2" s="73"/>
      <c r="AU2" s="27"/>
      <c r="AV2" s="27"/>
      <c r="AW2" s="73"/>
      <c r="AX2" s="27"/>
      <c r="AY2" s="27"/>
      <c r="AZ2" s="73"/>
      <c r="BA2" s="27"/>
      <c r="BB2" s="27"/>
    </row>
    <row r="3" spans="1:56" ht="20.25" customHeight="1" x14ac:dyDescent="0.45">
      <c r="T3" s="138" t="s">
        <v>58</v>
      </c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40"/>
      <c r="AM3" s="134" t="s">
        <v>59</v>
      </c>
      <c r="AN3" s="135"/>
      <c r="AO3" s="135"/>
      <c r="AP3" s="135"/>
      <c r="AQ3" s="136"/>
      <c r="AR3" s="135"/>
      <c r="AS3" s="135"/>
      <c r="AT3" s="136"/>
      <c r="AU3" s="135"/>
      <c r="AV3" s="135"/>
      <c r="AW3" s="136"/>
      <c r="AX3" s="135"/>
      <c r="AY3" s="135"/>
      <c r="AZ3" s="136"/>
      <c r="BA3" s="135"/>
      <c r="BB3" s="137"/>
      <c r="BC3" s="133" t="s">
        <v>73</v>
      </c>
      <c r="BD3" s="132" t="s">
        <v>74</v>
      </c>
    </row>
    <row r="4" spans="1:56" s="35" customFormat="1" ht="21.75" customHeight="1" x14ac:dyDescent="0.4">
      <c r="A4" s="33" t="s">
        <v>4</v>
      </c>
      <c r="B4" s="34" t="s">
        <v>5</v>
      </c>
      <c r="C4" s="34" t="s">
        <v>11</v>
      </c>
      <c r="D4" s="34" t="s">
        <v>12</v>
      </c>
      <c r="E4" s="34" t="s">
        <v>1</v>
      </c>
      <c r="F4" s="34" t="s">
        <v>6</v>
      </c>
      <c r="G4" s="34" t="s">
        <v>7</v>
      </c>
      <c r="H4" s="33" t="s">
        <v>8</v>
      </c>
      <c r="I4" s="33" t="s">
        <v>13</v>
      </c>
      <c r="J4" s="34" t="s">
        <v>14</v>
      </c>
      <c r="K4" s="33" t="s">
        <v>15</v>
      </c>
      <c r="L4" s="34" t="s">
        <v>16</v>
      </c>
      <c r="M4" s="33" t="s">
        <v>9</v>
      </c>
      <c r="N4" s="34" t="s">
        <v>17</v>
      </c>
      <c r="O4" s="33" t="s">
        <v>121</v>
      </c>
      <c r="P4" s="33" t="s">
        <v>0</v>
      </c>
      <c r="Q4" s="34" t="s">
        <v>19</v>
      </c>
      <c r="R4" s="34" t="s">
        <v>20</v>
      </c>
      <c r="S4" s="57" t="s">
        <v>24</v>
      </c>
      <c r="T4" s="75" t="s">
        <v>64</v>
      </c>
      <c r="U4" s="76" t="s">
        <v>39</v>
      </c>
      <c r="V4" s="58" t="s">
        <v>70</v>
      </c>
      <c r="W4" s="75" t="s">
        <v>65</v>
      </c>
      <c r="X4" s="76" t="s">
        <v>39</v>
      </c>
      <c r="Y4" s="58" t="s">
        <v>70</v>
      </c>
      <c r="Z4" s="75" t="s">
        <v>66</v>
      </c>
      <c r="AA4" s="76" t="s">
        <v>39</v>
      </c>
      <c r="AB4" s="58" t="s">
        <v>70</v>
      </c>
      <c r="AC4" s="75" t="s">
        <v>67</v>
      </c>
      <c r="AD4" s="76" t="s">
        <v>39</v>
      </c>
      <c r="AE4" s="58" t="s">
        <v>70</v>
      </c>
      <c r="AF4" s="75" t="s">
        <v>68</v>
      </c>
      <c r="AG4" s="76" t="s">
        <v>39</v>
      </c>
      <c r="AH4" s="58" t="s">
        <v>70</v>
      </c>
      <c r="AI4" s="75" t="s">
        <v>69</v>
      </c>
      <c r="AJ4" s="76" t="s">
        <v>39</v>
      </c>
      <c r="AK4" s="58" t="s">
        <v>70</v>
      </c>
      <c r="AL4" s="58" t="s">
        <v>9</v>
      </c>
      <c r="AM4" s="75" t="s">
        <v>79</v>
      </c>
      <c r="AN4" s="78" t="s">
        <v>39</v>
      </c>
      <c r="AO4" s="59" t="s">
        <v>70</v>
      </c>
      <c r="AP4" s="75" t="s">
        <v>80</v>
      </c>
      <c r="AQ4" s="76" t="s">
        <v>39</v>
      </c>
      <c r="AR4" s="59" t="s">
        <v>70</v>
      </c>
      <c r="AS4" s="75" t="s">
        <v>81</v>
      </c>
      <c r="AT4" s="76" t="s">
        <v>39</v>
      </c>
      <c r="AU4" s="59" t="s">
        <v>70</v>
      </c>
      <c r="AV4" s="75" t="s">
        <v>82</v>
      </c>
      <c r="AW4" s="76" t="s">
        <v>39</v>
      </c>
      <c r="AX4" s="59" t="s">
        <v>70</v>
      </c>
      <c r="AY4" s="75" t="s">
        <v>83</v>
      </c>
      <c r="AZ4" s="76" t="s">
        <v>39</v>
      </c>
      <c r="BA4" s="59" t="s">
        <v>70</v>
      </c>
      <c r="BB4" s="60" t="s">
        <v>9</v>
      </c>
      <c r="BC4" s="133"/>
      <c r="BD4" s="132"/>
    </row>
    <row r="5" spans="1:56" s="18" customFormat="1" ht="19.5" customHeight="1" x14ac:dyDescent="0.45">
      <c r="A5" s="104" t="str">
        <f>IF(B5="","","BK-"&amp;TEXT(1,"0000"))</f>
        <v>BK-0001</v>
      </c>
      <c r="B5" s="83" t="s">
        <v>87</v>
      </c>
      <c r="C5" s="84"/>
      <c r="D5" s="6"/>
      <c r="E5" s="6" t="s">
        <v>25</v>
      </c>
      <c r="F5" s="85">
        <v>46102</v>
      </c>
      <c r="G5" s="85">
        <v>46103</v>
      </c>
      <c r="H5" s="104">
        <f t="shared" ref="H5:H68" si="0">IF(AND(F5&lt;&gt;"",G5&lt;&gt;""),G5-F5,"")</f>
        <v>1</v>
      </c>
      <c r="I5" s="103" t="str">
        <f>IFERROR(INDEX(#REF!,MATCH(E5,#REF!,0)),"")</f>
        <v/>
      </c>
      <c r="J5" s="6">
        <v>10</v>
      </c>
      <c r="K5" s="103" t="str">
        <f>IF(AND(ISNUMBER(H5),ISNUMBER(I5)),H5*I5,"")</f>
        <v/>
      </c>
      <c r="L5" s="8">
        <v>0.28000000000000003</v>
      </c>
      <c r="M5" s="102" t="str">
        <f>IF(ISNUMBER(K5),K5*(1-L5),"")</f>
        <v/>
      </c>
      <c r="N5" s="9">
        <v>0</v>
      </c>
      <c r="O5" s="103" t="str">
        <f>IF(ISNUMBER(M5),M5-N5,"")</f>
        <v/>
      </c>
      <c r="P5" s="6" t="s">
        <v>2</v>
      </c>
      <c r="Q5" s="7"/>
      <c r="R5" s="10"/>
      <c r="S5" s="29" t="str">
        <f ca="1">IF(AND(B5&lt;&gt;"",F5&lt;&gt;"",F5&gt;=TODAY(),F5&lt;=TODAY()+180,P5&lt;&gt;"Cancelled"),F5+ROW()/100000,"")</f>
        <v/>
      </c>
      <c r="T5" s="79"/>
      <c r="U5" s="80"/>
      <c r="V5" s="101">
        <f>IF(OR(T5="",U5=""),0,IFERROR(INDEX(#REF!,MATCH(T5,#REF!,0))*U5,0))</f>
        <v>0</v>
      </c>
      <c r="W5" s="79"/>
      <c r="X5" s="80"/>
      <c r="Y5" s="101">
        <f>IF(OR(W5="",X5=""),0,IFERROR(INDEX(#REF!,MATCH(W5,#REF!,0))*X5,0))</f>
        <v>0</v>
      </c>
      <c r="Z5" s="79"/>
      <c r="AA5" s="80"/>
      <c r="AB5" s="81">
        <f>IF(OR(Z5="",AA5=""),0,IFERROR(INDEX(#REF!,MATCH(Z5,#REF!,0))*AA5,0))</f>
        <v>0</v>
      </c>
      <c r="AC5" s="79"/>
      <c r="AD5" s="80"/>
      <c r="AE5" s="81">
        <f>IF(OR(AC5="",AD5=""),0,IFERROR(INDEX(#REF!,MATCH(AC5,#REF!,0))*AD5,0))</f>
        <v>0</v>
      </c>
      <c r="AF5" s="79"/>
      <c r="AG5" s="80"/>
      <c r="AH5" s="101">
        <f>IF(OR(AF5="",AG5=""),0,IFERROR(INDEX(#REF!,MATCH(AF5,#REF!,0))*AG5,0))</f>
        <v>0</v>
      </c>
      <c r="AI5" s="79"/>
      <c r="AJ5" s="80"/>
      <c r="AK5" s="101">
        <f>IF(OR(AI5="",AJ5=""),0,IFERROR(INDEX(#REF!,MATCH(AI5,#REF!,0))*AJ5,0))</f>
        <v>0</v>
      </c>
      <c r="AL5" s="101">
        <f>SUM(V5+Y5+AB5+AE5+AH5+AK5)</f>
        <v>0</v>
      </c>
      <c r="AM5" s="79"/>
      <c r="AN5" s="80"/>
      <c r="AO5" s="99">
        <f>IF(OR(AM5="",AN5=""),0,IFERROR(INDEX(#REF!,MATCH(AM5,#REF!,0))*AN5,0))</f>
        <v>0</v>
      </c>
      <c r="AP5" s="79"/>
      <c r="AQ5" s="80"/>
      <c r="AR5" s="99">
        <f>IF(OR(AP5="",AQ5=""),0,IFERROR(INDEX(#REF!,MATCH(AP5,#REF!,0))*AQ5,0))</f>
        <v>0</v>
      </c>
      <c r="AS5" s="79"/>
      <c r="AT5" s="80"/>
      <c r="AU5" s="99">
        <f>IF(OR(AS5="",AT5=""),0,IFERROR(INDEX(#REF!,MATCH(AS5,#REF!,0))*AT5,0))</f>
        <v>0</v>
      </c>
      <c r="AV5" s="79"/>
      <c r="AW5" s="80"/>
      <c r="AX5" s="99">
        <f>IF(OR(AV5="",AW5=""),0,IFERROR(INDEX(#REF!,MATCH(AV5,#REF!,0))*AW5,0))</f>
        <v>0</v>
      </c>
      <c r="AY5" s="79"/>
      <c r="AZ5" s="82"/>
      <c r="BA5" s="99">
        <f>IF(OR(AY5="",AZ5=""),0,IFERROR(INDEX(#REF!,MATCH(AY5,#REF!,0))*AZ5,0))</f>
        <v>0</v>
      </c>
      <c r="BB5" s="100">
        <f>SUM(AO5+AR5+AU5+AX5+BA5)</f>
        <v>0</v>
      </c>
      <c r="BC5" s="110" t="str">
        <f>IF(ISNUMBER(M5),M5+AL5+BB5,"")</f>
        <v/>
      </c>
      <c r="BD5" s="61"/>
    </row>
    <row r="6" spans="1:56" ht="19.5" customHeight="1" x14ac:dyDescent="0.45">
      <c r="A6" s="104" t="str">
        <f>IF(B6="","","BK-"&amp;TEXT(2,"0000"))</f>
        <v>BK-0002</v>
      </c>
      <c r="B6" s="5" t="s">
        <v>88</v>
      </c>
      <c r="C6" s="23"/>
      <c r="D6" s="107"/>
      <c r="E6" s="6" t="s">
        <v>25</v>
      </c>
      <c r="F6" s="85">
        <v>46118</v>
      </c>
      <c r="G6" s="85">
        <v>46119</v>
      </c>
      <c r="H6" s="104">
        <f t="shared" ref="H6:H25" si="1">IF(AND(F6&lt;&gt;"",G6&lt;&gt;""),G6-F6,"")</f>
        <v>1</v>
      </c>
      <c r="I6" s="103" t="str">
        <f>IFERROR(INDEX(#REF!,MATCH(E6,#REF!,0)),"")</f>
        <v/>
      </c>
      <c r="J6" s="6">
        <v>6</v>
      </c>
      <c r="K6" s="103" t="str">
        <f t="shared" ref="K6:K68" si="2">IF(AND(ISNUMBER(H6),ISNUMBER(I6)),H6*I6,"")</f>
        <v/>
      </c>
      <c r="L6" s="8">
        <v>1</v>
      </c>
      <c r="M6" s="102" t="str">
        <f t="shared" ref="M6:M68" si="3">IF(ISNUMBER(K6),K6*(1-L6),"")</f>
        <v/>
      </c>
      <c r="N6" s="9">
        <v>0</v>
      </c>
      <c r="O6" s="105" t="str">
        <f t="shared" ref="O6:O68" si="4">IF(ISNUMBER(M6),M6-N6,"")</f>
        <v/>
      </c>
      <c r="P6" s="6" t="s">
        <v>2</v>
      </c>
      <c r="Q6" s="7"/>
      <c r="R6" s="10"/>
      <c r="S6" s="29" t="str">
        <f t="shared" ref="S6:S69" ca="1" si="5">IF(AND(B6&lt;&gt;"",F6&lt;&gt;"",F6&gt;=TODAY(),F6&lt;=TODAY()+180,P6&lt;&gt;"Cancelled"),F6+ROW()/100000,"")</f>
        <v/>
      </c>
      <c r="T6" s="7"/>
      <c r="U6" s="74"/>
      <c r="V6" s="101">
        <f>IF(OR(T6="",U6=""),0,IFERROR(INDEX(#REF!,MATCH(T6,#REF!,0))*U6,0))</f>
        <v>0</v>
      </c>
      <c r="W6" s="79"/>
      <c r="X6" s="74"/>
      <c r="Y6" s="101">
        <f>IF(OR(W6="",X6=""),0,IFERROR(INDEX(#REF!,MATCH(W6,#REF!,0))*X6,0))</f>
        <v>0</v>
      </c>
      <c r="Z6" s="7"/>
      <c r="AA6" s="74"/>
      <c r="AB6" s="101">
        <f>IF(OR(Z6="",AA6=""),0,IFERROR(INDEX(#REF!,MATCH(Z6,#REF!,0))*AA6,0))</f>
        <v>0</v>
      </c>
      <c r="AC6" s="7"/>
      <c r="AD6" s="74"/>
      <c r="AE6" s="101">
        <f>IF(OR(AC6="",AD6=""),0,IFERROR(INDEX(#REF!,MATCH(AC6,#REF!,0))*AD6,0))</f>
        <v>0</v>
      </c>
      <c r="AF6" s="7"/>
      <c r="AG6" s="74"/>
      <c r="AH6" s="101">
        <f>IF(OR(AF6="",AG6=""),0,IFERROR(INDEX(#REF!,MATCH(AF6,#REF!,0))*AG6,0))</f>
        <v>0</v>
      </c>
      <c r="AI6" s="7"/>
      <c r="AJ6" s="74"/>
      <c r="AK6" s="101">
        <f>IF(OR(AI6="",AJ6=""),0,IFERROR(INDEX(#REF!,MATCH(AI6,#REF!,0))*AJ6,0))</f>
        <v>0</v>
      </c>
      <c r="AL6" s="101">
        <f t="shared" ref="AL6:AL69" si="6">SUM(V6+Y6+AB6+AE6+AH6+AK6)</f>
        <v>0</v>
      </c>
      <c r="AM6" s="7"/>
      <c r="AN6" s="72"/>
      <c r="AO6" s="99">
        <f>IF(OR(AM6="",AN6=""),0,IFERROR(INDEX(#REF!,MATCH(AM6,#REF!,0))*AN6,0))</f>
        <v>0</v>
      </c>
      <c r="AP6" s="7"/>
      <c r="AQ6" s="74"/>
      <c r="AR6" s="99">
        <f>IF(OR(AP6="",AQ6=""),0,IFERROR(INDEX(#REF!,MATCH(AP6,#REF!,0))*AQ6,0))</f>
        <v>0</v>
      </c>
      <c r="AS6" s="7"/>
      <c r="AT6" s="74"/>
      <c r="AU6" s="99">
        <f>IF(OR(AS6="",AT6=""),0,IFERROR(INDEX(#REF!,MATCH(AS6,#REF!,0))*AT6,0))</f>
        <v>0</v>
      </c>
      <c r="AV6" s="7"/>
      <c r="AW6" s="74"/>
      <c r="AX6" s="99">
        <f>IF(OR(AV6="",AW6=""),0,IFERROR(INDEX(#REF!,MATCH(AV6,#REF!,0))*AW6,0))</f>
        <v>0</v>
      </c>
      <c r="AY6" s="7"/>
      <c r="AZ6" s="77"/>
      <c r="BA6" s="99">
        <f>IF(OR(AY6="",AZ6=""),0,IFERROR(INDEX(#REF!,MATCH(AY6,#REF!,0))*AZ6,0))</f>
        <v>0</v>
      </c>
      <c r="BB6" s="100">
        <f t="shared" ref="BB6:BB69" si="7">SUM(AO6+AR6+AU6+AX6+BA6)</f>
        <v>0</v>
      </c>
      <c r="BC6" s="110" t="str">
        <f t="shared" ref="BC6:BC69" si="8">IF(ISNUMBER(M6),M6+AL6+BB6,"")</f>
        <v/>
      </c>
      <c r="BD6" s="62"/>
    </row>
    <row r="7" spans="1:56" ht="19.5" customHeight="1" x14ac:dyDescent="0.45">
      <c r="A7" s="104" t="str">
        <f>IF(B7="","","BK-"&amp;TEXT(3,"0000"))</f>
        <v>BK-0003</v>
      </c>
      <c r="B7" s="5" t="s">
        <v>89</v>
      </c>
      <c r="C7" s="23" t="s">
        <v>90</v>
      </c>
      <c r="D7" s="107"/>
      <c r="E7" s="6" t="s">
        <v>25</v>
      </c>
      <c r="F7" s="85">
        <v>46124</v>
      </c>
      <c r="G7" s="85">
        <v>46125</v>
      </c>
      <c r="H7" s="104">
        <f t="shared" si="1"/>
        <v>1</v>
      </c>
      <c r="I7" s="103" t="str">
        <f>IFERROR(INDEX(#REF!,MATCH(E7,#REF!,0)),"")</f>
        <v/>
      </c>
      <c r="J7" s="6">
        <v>18</v>
      </c>
      <c r="K7" s="103" t="str">
        <f t="shared" si="2"/>
        <v/>
      </c>
      <c r="L7" s="8">
        <v>0.6</v>
      </c>
      <c r="M7" s="102" t="str">
        <f t="shared" si="3"/>
        <v/>
      </c>
      <c r="N7" s="9">
        <v>0</v>
      </c>
      <c r="O7" s="103" t="str">
        <f t="shared" si="4"/>
        <v/>
      </c>
      <c r="P7" s="6" t="s">
        <v>2</v>
      </c>
      <c r="Q7" s="7"/>
      <c r="R7" s="10"/>
      <c r="S7" s="29" t="str">
        <f t="shared" ca="1" si="5"/>
        <v/>
      </c>
      <c r="T7" s="7" t="s">
        <v>32</v>
      </c>
      <c r="U7" s="74">
        <v>1</v>
      </c>
      <c r="V7" s="101">
        <v>100</v>
      </c>
      <c r="W7" s="79"/>
      <c r="X7" s="74"/>
      <c r="Y7" s="101">
        <f>IF(OR(W7="",X7=""),0,IFERROR(INDEX(#REF!,MATCH(W7,#REF!,0))*X7,0))</f>
        <v>0</v>
      </c>
      <c r="Z7" s="7"/>
      <c r="AA7" s="74"/>
      <c r="AB7" s="101">
        <f>IF(OR(Z7="",AA7=""),0,IFERROR(INDEX(#REF!,MATCH(Z7,#REF!,0))*AA7,0))</f>
        <v>0</v>
      </c>
      <c r="AC7" s="7"/>
      <c r="AD7" s="74"/>
      <c r="AE7" s="101">
        <f>IF(OR(AC7="",AD7=""),0,IFERROR(INDEX(#REF!,MATCH(AC7,#REF!,0))*AD7,0))</f>
        <v>0</v>
      </c>
      <c r="AF7" s="7"/>
      <c r="AG7" s="74"/>
      <c r="AH7" s="101">
        <f>IF(OR(AF7="",AG7=""),0,IFERROR(INDEX(#REF!,MATCH(AF7,#REF!,0))*AG7,0))</f>
        <v>0</v>
      </c>
      <c r="AI7" s="7"/>
      <c r="AJ7" s="74"/>
      <c r="AK7" s="101">
        <f>IF(OR(AI7="",AJ7=""),0,IFERROR(INDEX(#REF!,MATCH(AI7,#REF!,0))*AJ7,0))</f>
        <v>0</v>
      </c>
      <c r="AL7" s="101">
        <f t="shared" si="6"/>
        <v>100</v>
      </c>
      <c r="AM7" s="7" t="s">
        <v>34</v>
      </c>
      <c r="AN7" s="72">
        <v>1</v>
      </c>
      <c r="AO7" s="99">
        <v>10</v>
      </c>
      <c r="AP7" s="7" t="s">
        <v>37</v>
      </c>
      <c r="AQ7" s="74">
        <v>1</v>
      </c>
      <c r="AR7" s="99">
        <v>50</v>
      </c>
      <c r="AS7" s="7" t="s">
        <v>38</v>
      </c>
      <c r="AT7" s="77">
        <v>1</v>
      </c>
      <c r="AU7" s="99">
        <f>IF(OR(AS7="",AT7=""),0,IFERROR(INDEX(#REF!,MATCH(AS7,#REF!,0))*AT7,0))</f>
        <v>0</v>
      </c>
      <c r="AV7" s="7"/>
      <c r="AW7" s="74"/>
      <c r="AX7" s="99">
        <f>IF(OR(AV7="",AW7=""),0,IFERROR(INDEX(#REF!,MATCH(AV7,#REF!,0))*AW7,0))</f>
        <v>0</v>
      </c>
      <c r="AY7" s="7"/>
      <c r="AZ7" s="77"/>
      <c r="BA7" s="99">
        <f>IF(OR(AY7="",AZ7=""),0,IFERROR(INDEX(#REF!,MATCH(AY7,#REF!,0))*AZ7,0))</f>
        <v>0</v>
      </c>
      <c r="BB7" s="100">
        <f>SUM(AO7+AR7+AU7+AX7+BA7)</f>
        <v>60</v>
      </c>
      <c r="BC7" s="110" t="str">
        <f t="shared" si="8"/>
        <v/>
      </c>
      <c r="BD7" s="62"/>
    </row>
    <row r="8" spans="1:56" ht="19.5" customHeight="1" x14ac:dyDescent="0.45">
      <c r="A8" s="104" t="str">
        <f>IF(B8="","","BK-"&amp;TEXT(4,"0000"))</f>
        <v>BK-0004</v>
      </c>
      <c r="B8" s="5" t="s">
        <v>91</v>
      </c>
      <c r="C8" s="23"/>
      <c r="D8" s="107"/>
      <c r="E8" s="6" t="s">
        <v>25</v>
      </c>
      <c r="F8" s="85">
        <v>46129</v>
      </c>
      <c r="G8" s="85">
        <v>46130</v>
      </c>
      <c r="H8" s="104">
        <f t="shared" si="1"/>
        <v>1</v>
      </c>
      <c r="I8" s="103" t="str">
        <f>IFERROR(INDEX(#REF!,MATCH(E8,#REF!,0)),"")</f>
        <v/>
      </c>
      <c r="J8" s="6">
        <v>5</v>
      </c>
      <c r="K8" s="103" t="str">
        <f t="shared" si="2"/>
        <v/>
      </c>
      <c r="L8" s="8">
        <v>0.28000000000000003</v>
      </c>
      <c r="M8" s="102" t="str">
        <f t="shared" si="3"/>
        <v/>
      </c>
      <c r="N8" s="9">
        <v>30</v>
      </c>
      <c r="O8" s="105" t="str">
        <f t="shared" si="4"/>
        <v/>
      </c>
      <c r="P8" s="6" t="s">
        <v>3</v>
      </c>
      <c r="Q8" s="7"/>
      <c r="R8" s="10"/>
      <c r="S8" s="29" t="str">
        <f t="shared" ca="1" si="5"/>
        <v/>
      </c>
      <c r="T8" s="7"/>
      <c r="U8" s="74"/>
      <c r="V8" s="101">
        <f>IF(OR(T8="",U8=""),0,IFERROR(INDEX(#REF!,MATCH(T8,#REF!,0))*U8,0))</f>
        <v>0</v>
      </c>
      <c r="W8" s="79"/>
      <c r="X8" s="74"/>
      <c r="Y8" s="101">
        <f>IF(OR(W8="",X8=""),0,IFERROR(INDEX(#REF!,MATCH(W8,#REF!,0))*X8,0))</f>
        <v>0</v>
      </c>
      <c r="Z8" s="7"/>
      <c r="AA8" s="74"/>
      <c r="AB8" s="101">
        <f>IF(OR(Z8="",AA8=""),0,IFERROR(INDEX(#REF!,MATCH(Z8,#REF!,0))*AA8,0))</f>
        <v>0</v>
      </c>
      <c r="AC8" s="7"/>
      <c r="AD8" s="74"/>
      <c r="AE8" s="101">
        <f>IF(OR(AC8="",AD8=""),0,IFERROR(INDEX(#REF!,MATCH(AC8,#REF!,0))*AD8,0))</f>
        <v>0</v>
      </c>
      <c r="AF8" s="7"/>
      <c r="AG8" s="74"/>
      <c r="AH8" s="101">
        <f>IF(OR(AF8="",AG8=""),0,IFERROR(INDEX(#REF!,MATCH(AF8,#REF!,0))*AG8,0))</f>
        <v>0</v>
      </c>
      <c r="AI8" s="7"/>
      <c r="AJ8" s="74"/>
      <c r="AK8" s="101">
        <f>IF(OR(AI8="",AJ8=""),0,IFERROR(INDEX(#REF!,MATCH(AI8,#REF!,0))*AJ8,0))</f>
        <v>0</v>
      </c>
      <c r="AL8" s="101">
        <f t="shared" si="6"/>
        <v>0</v>
      </c>
      <c r="AM8" s="7"/>
      <c r="AN8" s="72"/>
      <c r="AO8" s="99">
        <f>IF(OR(AM8="",AN8=""),0,IFERROR(INDEX(#REF!,MATCH(AM8,#REF!,0))*AN8,0))</f>
        <v>0</v>
      </c>
      <c r="AP8" s="7"/>
      <c r="AQ8" s="74"/>
      <c r="AR8" s="99">
        <f>IF(OR(AP8="",AQ8=""),0,IFERROR(INDEX(#REF!,MATCH(AP8,#REF!,0))*AQ8,0))</f>
        <v>0</v>
      </c>
      <c r="AS8" s="7"/>
      <c r="AT8" s="74"/>
      <c r="AU8" s="99">
        <f>IF(OR(AS8="",AT8=""),0,IFERROR(INDEX(#REF!,MATCH(AS8,#REF!,0))*AT8,0))</f>
        <v>0</v>
      </c>
      <c r="AV8" s="7"/>
      <c r="AW8" s="74"/>
      <c r="AX8" s="99">
        <f>IF(OR(AV8="",AW8=""),0,IFERROR(INDEX(#REF!,MATCH(AV8,#REF!,0))*AW8,0))</f>
        <v>0</v>
      </c>
      <c r="AY8" s="7"/>
      <c r="AZ8" s="77"/>
      <c r="BA8" s="99">
        <f>IF(OR(AY8="",AZ8=""),0,IFERROR(INDEX(#REF!,MATCH(AY8,#REF!,0))*AZ8,0))</f>
        <v>0</v>
      </c>
      <c r="BB8" s="100">
        <f t="shared" si="7"/>
        <v>0</v>
      </c>
      <c r="BC8" s="110" t="str">
        <f t="shared" si="8"/>
        <v/>
      </c>
      <c r="BD8" s="62"/>
    </row>
    <row r="9" spans="1:56" ht="19.5" customHeight="1" x14ac:dyDescent="0.45">
      <c r="A9" s="104" t="str">
        <f>IF(B9="","","BK-"&amp;TEXT(5,"0000"))</f>
        <v>BK-0005</v>
      </c>
      <c r="B9" s="5" t="s">
        <v>94</v>
      </c>
      <c r="C9" s="23" t="s">
        <v>95</v>
      </c>
      <c r="D9" s="107"/>
      <c r="E9" s="6" t="s">
        <v>25</v>
      </c>
      <c r="F9" s="85">
        <v>46143</v>
      </c>
      <c r="G9" s="85">
        <v>46144</v>
      </c>
      <c r="H9" s="104">
        <f t="shared" si="1"/>
        <v>1</v>
      </c>
      <c r="I9" s="103" t="str">
        <f>IFERROR(INDEX(#REF!,MATCH(E9,#REF!,0)),"")</f>
        <v/>
      </c>
      <c r="J9" s="6">
        <v>16</v>
      </c>
      <c r="K9" s="103" t="str">
        <f>IF(AND(ISNUMBER(H9),ISNUMBER(I9)),H9*I9,"")</f>
        <v/>
      </c>
      <c r="L9" s="8">
        <v>0.28000000000000003</v>
      </c>
      <c r="M9" s="102" t="str">
        <f>IF(ISNUMBER(K9),K9*(1-L9),"")</f>
        <v/>
      </c>
      <c r="N9" s="9">
        <v>100</v>
      </c>
      <c r="O9" s="103" t="str">
        <f t="shared" si="4"/>
        <v/>
      </c>
      <c r="P9" s="6" t="s">
        <v>2</v>
      </c>
      <c r="Q9" s="7"/>
      <c r="R9" s="10"/>
      <c r="S9" s="29" t="str">
        <f t="shared" ca="1" si="5"/>
        <v/>
      </c>
      <c r="T9" s="7"/>
      <c r="U9" s="74"/>
      <c r="V9" s="101">
        <f>IF(OR(T9="",U9=""),0,IFERROR(INDEX(#REF!,MATCH(T9,#REF!,0))*U9,0))</f>
        <v>0</v>
      </c>
      <c r="W9" s="79"/>
      <c r="X9" s="74"/>
      <c r="Y9" s="101">
        <f>IF(OR(W9="",X9=""),0,IFERROR(INDEX(#REF!,MATCH(W9,#REF!,0))*X9,0))</f>
        <v>0</v>
      </c>
      <c r="Z9" s="7"/>
      <c r="AA9" s="74"/>
      <c r="AB9" s="101">
        <f>IF(OR(Z9="",AA9=""),0,IFERROR(INDEX(#REF!,MATCH(Z9,#REF!,0))*AA9,0))</f>
        <v>0</v>
      </c>
      <c r="AC9" s="7"/>
      <c r="AD9" s="74"/>
      <c r="AE9" s="101">
        <f>IF(OR(AC9="",AD9=""),0,IFERROR(INDEX(#REF!,MATCH(AC9,#REF!,0))*AD9,0))</f>
        <v>0</v>
      </c>
      <c r="AF9" s="7"/>
      <c r="AG9" s="74"/>
      <c r="AH9" s="101">
        <f>IF(OR(AF9="",AG9=""),0,IFERROR(INDEX(#REF!,MATCH(AF9,#REF!,0))*AG9,0))</f>
        <v>0</v>
      </c>
      <c r="AI9" s="7"/>
      <c r="AJ9" s="74"/>
      <c r="AK9" s="101">
        <f>IF(OR(AI9="",AJ9=""),0,IFERROR(INDEX(#REF!,MATCH(AI9,#REF!,0))*AJ9,0))</f>
        <v>0</v>
      </c>
      <c r="AL9" s="101">
        <f t="shared" si="6"/>
        <v>0</v>
      </c>
      <c r="AM9" s="7" t="s">
        <v>34</v>
      </c>
      <c r="AN9" s="72">
        <v>1</v>
      </c>
      <c r="AO9" s="99">
        <v>10</v>
      </c>
      <c r="AP9" s="7" t="s">
        <v>38</v>
      </c>
      <c r="AQ9" s="77">
        <v>1</v>
      </c>
      <c r="AR9" s="99">
        <f>IF(OR(AP9="",AQ9=""),0,IFERROR(INDEX(#REF!,MATCH(AP9,#REF!,0))*AQ9,0))</f>
        <v>0</v>
      </c>
      <c r="AS9" s="7"/>
      <c r="AT9" s="74"/>
      <c r="AU9" s="99">
        <f>IF(OR(AS9="",AT9=""),0,IFERROR(INDEX(#REF!,MATCH(AS9,#REF!,0))*AT9,0))</f>
        <v>0</v>
      </c>
      <c r="AV9" s="7"/>
      <c r="AW9" s="74"/>
      <c r="AX9" s="99">
        <f>IF(OR(AV9="",AW9=""),0,IFERROR(INDEX(#REF!,MATCH(AV9,#REF!,0))*AW9,0))</f>
        <v>0</v>
      </c>
      <c r="AY9" s="7"/>
      <c r="AZ9" s="77"/>
      <c r="BA9" s="99">
        <f>IF(OR(AY9="",AZ9=""),0,IFERROR(INDEX(#REF!,MATCH(AY9,#REF!,0))*AZ9,0))</f>
        <v>0</v>
      </c>
      <c r="BB9" s="100">
        <f t="shared" si="7"/>
        <v>10</v>
      </c>
      <c r="BC9" s="110" t="str">
        <f t="shared" si="8"/>
        <v/>
      </c>
      <c r="BD9" s="62"/>
    </row>
    <row r="10" spans="1:56" ht="19.5" customHeight="1" x14ac:dyDescent="0.45">
      <c r="A10" s="104" t="str">
        <f>IF(B10="","","BK-"&amp;TEXT(6,"0000"))</f>
        <v>BK-0006</v>
      </c>
      <c r="B10" s="5" t="s">
        <v>96</v>
      </c>
      <c r="C10" s="23"/>
      <c r="D10" s="107"/>
      <c r="E10" s="6" t="s">
        <v>25</v>
      </c>
      <c r="F10" s="85">
        <v>46158</v>
      </c>
      <c r="G10" s="85">
        <v>46159</v>
      </c>
      <c r="H10" s="104">
        <f t="shared" si="1"/>
        <v>1</v>
      </c>
      <c r="I10" s="103">
        <v>0</v>
      </c>
      <c r="J10" s="6">
        <v>2</v>
      </c>
      <c r="K10" s="103">
        <v>0</v>
      </c>
      <c r="L10" s="8">
        <v>0</v>
      </c>
      <c r="M10" s="102">
        <v>0</v>
      </c>
      <c r="N10" s="9"/>
      <c r="O10" s="105">
        <f t="shared" si="4"/>
        <v>0</v>
      </c>
      <c r="P10" s="6" t="s">
        <v>2</v>
      </c>
      <c r="Q10" s="7"/>
      <c r="R10" s="10"/>
      <c r="S10" s="29" t="str">
        <f t="shared" ca="1" si="5"/>
        <v/>
      </c>
      <c r="T10" s="7" t="s">
        <v>31</v>
      </c>
      <c r="U10" s="74">
        <v>1</v>
      </c>
      <c r="V10" s="101">
        <f>IF(OR(T10="",U10=""),0,IFERROR(INDEX(#REF!,MATCH(T10,#REF!,0))*U10,0))</f>
        <v>0</v>
      </c>
      <c r="W10" s="79"/>
      <c r="X10" s="74"/>
      <c r="Y10" s="101">
        <f>IF(OR(W10="",X10=""),0,IFERROR(INDEX(#REF!,MATCH(W10,#REF!,0))*X10,0))</f>
        <v>0</v>
      </c>
      <c r="Z10" s="7"/>
      <c r="AA10" s="74"/>
      <c r="AB10" s="101">
        <f>IF(OR(Z10="",AA10=""),0,IFERROR(INDEX(#REF!,MATCH(Z10,#REF!,0))*AA10,0))</f>
        <v>0</v>
      </c>
      <c r="AC10" s="7"/>
      <c r="AD10" s="74"/>
      <c r="AE10" s="101">
        <f>IF(OR(AC10="",AD10=""),0,IFERROR(INDEX(#REF!,MATCH(AC10,#REF!,0))*AD10,0))</f>
        <v>0</v>
      </c>
      <c r="AF10" s="7"/>
      <c r="AG10" s="74"/>
      <c r="AH10" s="101">
        <f>IF(OR(AF10="",AG10=""),0,IFERROR(INDEX(#REF!,MATCH(AF10,#REF!,0))*AG10,0))</f>
        <v>0</v>
      </c>
      <c r="AI10" s="7"/>
      <c r="AJ10" s="74"/>
      <c r="AK10" s="101">
        <f>IF(OR(AI10="",AJ10=""),0,IFERROR(INDEX(#REF!,MATCH(AI10,#REF!,0))*AJ10,0))</f>
        <v>0</v>
      </c>
      <c r="AL10" s="101">
        <f t="shared" si="6"/>
        <v>0</v>
      </c>
      <c r="AM10" s="7"/>
      <c r="AN10" s="72"/>
      <c r="AO10" s="99">
        <f>IF(OR(AM10="",AN10=""),0,IFERROR(INDEX(#REF!,MATCH(AM10,#REF!,0))*AN10,0))</f>
        <v>0</v>
      </c>
      <c r="AP10" s="7"/>
      <c r="AQ10" s="74"/>
      <c r="AR10" s="99">
        <f>IF(OR(AP10="",AQ10=""),0,IFERROR(INDEX(#REF!,MATCH(AP10,#REF!,0))*AQ10,0))</f>
        <v>0</v>
      </c>
      <c r="AS10" s="7"/>
      <c r="AT10" s="74"/>
      <c r="AU10" s="99">
        <f>IF(OR(AS10="",AT10=""),0,IFERROR(INDEX(#REF!,MATCH(AS10,#REF!,0))*AT10,0))</f>
        <v>0</v>
      </c>
      <c r="AV10" s="7"/>
      <c r="AW10" s="74"/>
      <c r="AX10" s="99">
        <f>IF(OR(AV10="",AW10=""),0,IFERROR(INDEX(#REF!,MATCH(AV10,#REF!,0))*AW10,0))</f>
        <v>0</v>
      </c>
      <c r="AY10" s="7"/>
      <c r="AZ10" s="77"/>
      <c r="BA10" s="99">
        <f>IF(OR(AY10="",AZ10=""),0,IFERROR(INDEX(#REF!,MATCH(AY10,#REF!,0))*AZ10,0))</f>
        <v>0</v>
      </c>
      <c r="BB10" s="100">
        <f t="shared" si="7"/>
        <v>0</v>
      </c>
      <c r="BC10" s="110">
        <f t="shared" si="8"/>
        <v>0</v>
      </c>
      <c r="BD10" s="62"/>
    </row>
    <row r="11" spans="1:56" ht="19.5" customHeight="1" x14ac:dyDescent="0.45">
      <c r="A11" s="104" t="str">
        <f>IF(B11="","","BK-"&amp;TEXT(7,"0000"))</f>
        <v>BK-0007</v>
      </c>
      <c r="B11" s="5" t="s">
        <v>97</v>
      </c>
      <c r="C11" s="23"/>
      <c r="D11" s="107"/>
      <c r="E11" s="6" t="s">
        <v>25</v>
      </c>
      <c r="F11" s="85">
        <v>46172</v>
      </c>
      <c r="G11" s="85">
        <v>46173</v>
      </c>
      <c r="H11" s="104">
        <f t="shared" si="1"/>
        <v>1</v>
      </c>
      <c r="I11" s="103" t="str">
        <f>IFERROR(INDEX(#REF!,MATCH(E11,#REF!,0)),"")</f>
        <v/>
      </c>
      <c r="J11" s="6">
        <v>10</v>
      </c>
      <c r="K11" s="103" t="str">
        <f t="shared" si="2"/>
        <v/>
      </c>
      <c r="L11" s="8">
        <v>0.28000000000000003</v>
      </c>
      <c r="M11" s="102" t="str">
        <f t="shared" si="3"/>
        <v/>
      </c>
      <c r="N11" s="9"/>
      <c r="O11" s="103" t="str">
        <f t="shared" si="4"/>
        <v/>
      </c>
      <c r="P11" s="6" t="s">
        <v>2</v>
      </c>
      <c r="Q11" s="7"/>
      <c r="R11" s="10"/>
      <c r="S11" s="29" t="str">
        <f t="shared" ca="1" si="5"/>
        <v/>
      </c>
      <c r="T11" s="7"/>
      <c r="U11" s="74"/>
      <c r="V11" s="101">
        <f>IF(OR(T11="",U11=""),0,IFERROR(INDEX(#REF!,MATCH(T11,#REF!,0))*U11,0))</f>
        <v>0</v>
      </c>
      <c r="W11" s="79"/>
      <c r="X11" s="74"/>
      <c r="Y11" s="101">
        <f>IF(OR(W11="",X11=""),0,IFERROR(INDEX(#REF!,MATCH(W11,#REF!,0))*X11,0))</f>
        <v>0</v>
      </c>
      <c r="Z11" s="7"/>
      <c r="AA11" s="74"/>
      <c r="AB11" s="101">
        <f>IF(OR(Z11="",AA11=""),0,IFERROR(INDEX(#REF!,MATCH(Z11,#REF!,0))*AA11,0))</f>
        <v>0</v>
      </c>
      <c r="AC11" s="7"/>
      <c r="AD11" s="74"/>
      <c r="AE11" s="101">
        <f>IF(OR(AC11="",AD11=""),0,IFERROR(INDEX(#REF!,MATCH(AC11,#REF!,0))*AD11,0))</f>
        <v>0</v>
      </c>
      <c r="AF11" s="7"/>
      <c r="AG11" s="74"/>
      <c r="AH11" s="101">
        <f>IF(OR(AF11="",AG11=""),0,IFERROR(INDEX(#REF!,MATCH(AF11,#REF!,0))*AG11,0))</f>
        <v>0</v>
      </c>
      <c r="AI11" s="7"/>
      <c r="AJ11" s="74"/>
      <c r="AK11" s="101">
        <f>IF(OR(AI11="",AJ11=""),0,IFERROR(INDEX(#REF!,MATCH(AI11,#REF!,0))*AJ11,0))</f>
        <v>0</v>
      </c>
      <c r="AL11" s="101">
        <f t="shared" si="6"/>
        <v>0</v>
      </c>
      <c r="AM11" s="7" t="s">
        <v>34</v>
      </c>
      <c r="AN11" s="72">
        <v>1</v>
      </c>
      <c r="AO11" s="99">
        <v>20</v>
      </c>
      <c r="AP11" s="7" t="s">
        <v>35</v>
      </c>
      <c r="AQ11" s="72">
        <v>1</v>
      </c>
      <c r="AR11" s="99">
        <v>10</v>
      </c>
      <c r="AS11" s="7"/>
      <c r="AT11" s="74"/>
      <c r="AU11" s="99">
        <f>IF(OR(AS11="",AT11=""),0,IFERROR(INDEX(#REF!,MATCH(AS11,#REF!,0))*AT11,0))</f>
        <v>0</v>
      </c>
      <c r="AV11" s="7"/>
      <c r="AW11" s="74"/>
      <c r="AX11" s="99">
        <f>IF(OR(AV11="",AW11=""),0,IFERROR(INDEX(#REF!,MATCH(AV11,#REF!,0))*AW11,0))</f>
        <v>0</v>
      </c>
      <c r="AY11" s="7"/>
      <c r="AZ11" s="77"/>
      <c r="BA11" s="99">
        <f>IF(OR(AY11="",AZ11=""),0,IFERROR(INDEX(#REF!,MATCH(AY11,#REF!,0))*AZ11,0))</f>
        <v>0</v>
      </c>
      <c r="BB11" s="100">
        <f t="shared" si="7"/>
        <v>30</v>
      </c>
      <c r="BC11" s="110" t="str">
        <f t="shared" si="8"/>
        <v/>
      </c>
      <c r="BD11" s="62"/>
    </row>
    <row r="12" spans="1:56" ht="19.5" customHeight="1" x14ac:dyDescent="0.45">
      <c r="A12" s="104" t="str">
        <f>IF(B12="","","BK-"&amp;TEXT(8,"0000"))</f>
        <v>BK-0008</v>
      </c>
      <c r="B12" s="5" t="s">
        <v>98</v>
      </c>
      <c r="C12" s="23" t="s">
        <v>99</v>
      </c>
      <c r="D12" s="107"/>
      <c r="E12" s="6" t="s">
        <v>25</v>
      </c>
      <c r="F12" s="85">
        <v>46181</v>
      </c>
      <c r="G12" s="85">
        <v>46182</v>
      </c>
      <c r="H12" s="104">
        <f t="shared" si="1"/>
        <v>1</v>
      </c>
      <c r="I12" s="103" t="str">
        <f>IFERROR(INDEX(#REF!,MATCH(E12,#REF!,0)),"")</f>
        <v/>
      </c>
      <c r="J12" s="6">
        <v>12</v>
      </c>
      <c r="K12" s="103" t="str">
        <f t="shared" si="2"/>
        <v/>
      </c>
      <c r="L12" s="8">
        <v>0.28000000000000003</v>
      </c>
      <c r="M12" s="102" t="str">
        <f t="shared" si="3"/>
        <v/>
      </c>
      <c r="N12" s="9"/>
      <c r="O12" s="105" t="str">
        <f t="shared" si="4"/>
        <v/>
      </c>
      <c r="P12" s="6" t="s">
        <v>2</v>
      </c>
      <c r="Q12" s="7"/>
      <c r="R12" s="10"/>
      <c r="S12" s="29" t="str">
        <f t="shared" ca="1" si="5"/>
        <v/>
      </c>
      <c r="T12" s="7" t="s">
        <v>100</v>
      </c>
      <c r="U12" s="74">
        <v>1</v>
      </c>
      <c r="V12" s="101">
        <f>IF(OR(T12="",U12=""),0,IFERROR(INDEX(#REF!,MATCH(T12,#REF!,0))*U12,0))</f>
        <v>0</v>
      </c>
      <c r="W12" s="79"/>
      <c r="X12" s="74"/>
      <c r="Y12" s="101">
        <f>IF(OR(W12="",X12=""),0,IFERROR(INDEX(#REF!,MATCH(W12,#REF!,0))*X12,0))</f>
        <v>0</v>
      </c>
      <c r="Z12" s="7"/>
      <c r="AA12" s="74"/>
      <c r="AB12" s="101">
        <f>IF(OR(Z12="",AA12=""),0,IFERROR(INDEX(#REF!,MATCH(Z12,#REF!,0))*AA12,0))</f>
        <v>0</v>
      </c>
      <c r="AC12" s="7"/>
      <c r="AD12" s="74"/>
      <c r="AE12" s="101">
        <f>IF(OR(AC12="",AD12=""),0,IFERROR(INDEX(#REF!,MATCH(AC12,#REF!,0))*AD12,0))</f>
        <v>0</v>
      </c>
      <c r="AF12" s="7"/>
      <c r="AG12" s="74"/>
      <c r="AH12" s="101">
        <f>IF(OR(AF12="",AG12=""),0,IFERROR(INDEX(#REF!,MATCH(AF12,#REF!,0))*AG12,0))</f>
        <v>0</v>
      </c>
      <c r="AI12" s="7"/>
      <c r="AJ12" s="74"/>
      <c r="AK12" s="101">
        <f>IF(OR(AI12="",AJ12=""),0,IFERROR(INDEX(#REF!,MATCH(AI12,#REF!,0))*AJ12,0))</f>
        <v>0</v>
      </c>
      <c r="AL12" s="101">
        <f t="shared" si="6"/>
        <v>0</v>
      </c>
      <c r="AM12" s="7" t="s">
        <v>101</v>
      </c>
      <c r="AN12" s="72">
        <v>1</v>
      </c>
      <c r="AO12" s="99">
        <v>8</v>
      </c>
      <c r="AP12" s="7" t="s">
        <v>36</v>
      </c>
      <c r="AQ12" s="72">
        <v>1</v>
      </c>
      <c r="AR12" s="99">
        <f>IF(OR(AP12="",AQ12=""),0,IFERROR(INDEX(#REF!,MATCH(AP12,#REF!,0))*AQ12,0))</f>
        <v>0</v>
      </c>
      <c r="AS12" s="7"/>
      <c r="AT12" s="74"/>
      <c r="AU12" s="99">
        <f>IF(OR(AS12="",AT12=""),0,IFERROR(INDEX(#REF!,MATCH(AS12,#REF!,0))*AT12,0))</f>
        <v>0</v>
      </c>
      <c r="AV12" s="7"/>
      <c r="AW12" s="74"/>
      <c r="AX12" s="99">
        <f>IF(OR(AV12="",AW12=""),0,IFERROR(INDEX(#REF!,MATCH(AV12,#REF!,0))*AW12,0))</f>
        <v>0</v>
      </c>
      <c r="AY12" s="7"/>
      <c r="AZ12" s="77"/>
      <c r="BA12" s="99">
        <f>IF(OR(AY12="",AZ12=""),0,IFERROR(INDEX(#REF!,MATCH(AY12,#REF!,0))*AZ12,0))</f>
        <v>0</v>
      </c>
      <c r="BB12" s="100">
        <f t="shared" si="7"/>
        <v>8</v>
      </c>
      <c r="BC12" s="110" t="str">
        <f t="shared" si="8"/>
        <v/>
      </c>
      <c r="BD12" s="62"/>
    </row>
    <row r="13" spans="1:56" ht="19.5" customHeight="1" x14ac:dyDescent="0.45">
      <c r="A13" s="104" t="str">
        <f>IF(B13="","","BK-"&amp;TEXT(9,"0000"))</f>
        <v>BK-0009</v>
      </c>
      <c r="B13" s="5" t="s">
        <v>102</v>
      </c>
      <c r="C13" s="23"/>
      <c r="D13" s="107"/>
      <c r="E13" s="6" t="s">
        <v>26</v>
      </c>
      <c r="F13" s="85">
        <v>46163</v>
      </c>
      <c r="G13" s="85">
        <v>46164</v>
      </c>
      <c r="H13" s="104">
        <f t="shared" si="1"/>
        <v>1</v>
      </c>
      <c r="I13" s="103" t="str">
        <f>IFERROR(INDEX(#REF!,MATCH(E13,#REF!,0)),"")</f>
        <v/>
      </c>
      <c r="J13" s="6">
        <v>18</v>
      </c>
      <c r="K13" s="103" t="str">
        <f t="shared" si="2"/>
        <v/>
      </c>
      <c r="L13" s="8">
        <v>0.75</v>
      </c>
      <c r="M13" s="102" t="str">
        <f t="shared" si="3"/>
        <v/>
      </c>
      <c r="N13" s="9"/>
      <c r="O13" s="103" t="str">
        <f t="shared" si="4"/>
        <v/>
      </c>
      <c r="P13" s="6" t="s">
        <v>2</v>
      </c>
      <c r="Q13" s="7"/>
      <c r="R13" s="10"/>
      <c r="S13" s="29" t="str">
        <f t="shared" ca="1" si="5"/>
        <v/>
      </c>
      <c r="T13" s="7" t="s">
        <v>33</v>
      </c>
      <c r="U13" s="74">
        <v>1</v>
      </c>
      <c r="V13" s="101">
        <v>20</v>
      </c>
      <c r="W13" s="79"/>
      <c r="X13" s="74"/>
      <c r="Y13" s="101">
        <f>IF(OR(W13="",X13=""),0,IFERROR(INDEX(#REF!,MATCH(W13,#REF!,0))*X13,0))</f>
        <v>0</v>
      </c>
      <c r="Z13" s="7"/>
      <c r="AA13" s="74"/>
      <c r="AB13" s="101">
        <f>IF(OR(Z13="",AA13=""),0,IFERROR(INDEX(#REF!,MATCH(Z13,#REF!,0))*AA13,0))</f>
        <v>0</v>
      </c>
      <c r="AC13" s="7"/>
      <c r="AD13" s="74"/>
      <c r="AE13" s="101">
        <f>IF(OR(AC13="",AD13=""),0,IFERROR(INDEX(#REF!,MATCH(AC13,#REF!,0))*AD13,0))</f>
        <v>0</v>
      </c>
      <c r="AF13" s="7"/>
      <c r="AG13" s="74"/>
      <c r="AH13" s="101">
        <f>IF(OR(AF13="",AG13=""),0,IFERROR(INDEX(#REF!,MATCH(AF13,#REF!,0))*AG13,0))</f>
        <v>0</v>
      </c>
      <c r="AI13" s="7"/>
      <c r="AJ13" s="74"/>
      <c r="AK13" s="101">
        <f>IF(OR(AI13="",AJ13=""),0,IFERROR(INDEX(#REF!,MATCH(AI13,#REF!,0))*AJ13,0))</f>
        <v>0</v>
      </c>
      <c r="AL13" s="101">
        <f t="shared" si="6"/>
        <v>20</v>
      </c>
      <c r="AM13" s="7" t="s">
        <v>37</v>
      </c>
      <c r="AN13" s="72">
        <v>2</v>
      </c>
      <c r="AO13" s="99">
        <f>IF(OR(AM13="",AN13=""),0,IFERROR(INDEX(#REF!,MATCH(AM13,#REF!,0))*AN13,0))</f>
        <v>0</v>
      </c>
      <c r="AP13" s="7" t="s">
        <v>36</v>
      </c>
      <c r="AQ13" s="72">
        <v>10</v>
      </c>
      <c r="AR13" s="99">
        <f>IF(OR(AP13="",AQ13=""),0,IFERROR(INDEX(#REF!,MATCH(AP13,#REF!,0))*AQ13,0))</f>
        <v>0</v>
      </c>
      <c r="AS13" s="7"/>
      <c r="AT13" s="74"/>
      <c r="AU13" s="99">
        <f>IF(OR(AS13="",AT13=""),0,IFERROR(INDEX(#REF!,MATCH(AS13,#REF!,0))*AT13,0))</f>
        <v>0</v>
      </c>
      <c r="AV13" s="7"/>
      <c r="AW13" s="74"/>
      <c r="AX13" s="99">
        <f>IF(OR(AV13="",AW13=""),0,IFERROR(INDEX(#REF!,MATCH(AV13,#REF!,0))*AW13,0))</f>
        <v>0</v>
      </c>
      <c r="AY13" s="7"/>
      <c r="AZ13" s="77"/>
      <c r="BA13" s="99">
        <f>IF(OR(AY13="",AZ13=""),0,IFERROR(INDEX(#REF!,MATCH(AY13,#REF!,0))*AZ13,0))</f>
        <v>0</v>
      </c>
      <c r="BB13" s="100">
        <f t="shared" si="7"/>
        <v>0</v>
      </c>
      <c r="BC13" s="110" t="str">
        <f t="shared" si="8"/>
        <v/>
      </c>
      <c r="BD13" s="62"/>
    </row>
    <row r="14" spans="1:56" ht="19.5" customHeight="1" x14ac:dyDescent="0.45">
      <c r="A14" s="104" t="str">
        <f>IF(B14="","","BK-"&amp;TEXT(10,"0000"))</f>
        <v>BK-0010</v>
      </c>
      <c r="B14" s="5" t="s">
        <v>103</v>
      </c>
      <c r="C14" s="23" t="s">
        <v>104</v>
      </c>
      <c r="D14" s="107"/>
      <c r="E14" s="6" t="s">
        <v>26</v>
      </c>
      <c r="F14" s="85">
        <v>46221</v>
      </c>
      <c r="G14" s="85">
        <v>46222</v>
      </c>
      <c r="H14" s="104">
        <f t="shared" si="1"/>
        <v>1</v>
      </c>
      <c r="I14" s="103" t="str">
        <f>IFERROR(INDEX(#REF!,MATCH(E14,#REF!,0)),"")</f>
        <v/>
      </c>
      <c r="J14" s="6">
        <v>10</v>
      </c>
      <c r="K14" s="103" t="str">
        <f t="shared" si="2"/>
        <v/>
      </c>
      <c r="L14" s="8">
        <v>0.6</v>
      </c>
      <c r="M14" s="102" t="str">
        <f t="shared" si="3"/>
        <v/>
      </c>
      <c r="N14" s="9">
        <v>50</v>
      </c>
      <c r="O14" s="105" t="str">
        <f t="shared" si="4"/>
        <v/>
      </c>
      <c r="P14" s="6" t="s">
        <v>2</v>
      </c>
      <c r="Q14" s="7"/>
      <c r="R14" s="10"/>
      <c r="S14" s="29" t="str">
        <f t="shared" ca="1" si="5"/>
        <v/>
      </c>
      <c r="T14" s="7" t="s">
        <v>33</v>
      </c>
      <c r="U14" s="74">
        <v>1</v>
      </c>
      <c r="V14" s="101">
        <v>20</v>
      </c>
      <c r="W14" s="79"/>
      <c r="X14" s="74"/>
      <c r="Y14" s="101">
        <f>IF(OR(W14="",X14=""),0,IFERROR(INDEX(#REF!,MATCH(W14,#REF!,0))*X14,0))</f>
        <v>0</v>
      </c>
      <c r="Z14" s="7"/>
      <c r="AA14" s="74"/>
      <c r="AB14" s="101">
        <f>IF(OR(Z14="",AA14=""),0,IFERROR(INDEX(#REF!,MATCH(Z14,#REF!,0))*AA14,0))</f>
        <v>0</v>
      </c>
      <c r="AC14" s="7"/>
      <c r="AD14" s="74"/>
      <c r="AE14" s="101">
        <f>IF(OR(AC14="",AD14=""),0,IFERROR(INDEX(#REF!,MATCH(AC14,#REF!,0))*AD14,0))</f>
        <v>0</v>
      </c>
      <c r="AF14" s="7"/>
      <c r="AG14" s="74"/>
      <c r="AH14" s="101">
        <f>IF(OR(AF14="",AG14=""),0,IFERROR(INDEX(#REF!,MATCH(AF14,#REF!,0))*AG14,0))</f>
        <v>0</v>
      </c>
      <c r="AI14" s="7"/>
      <c r="AJ14" s="74"/>
      <c r="AK14" s="101">
        <f>IF(OR(AI14="",AJ14=""),0,IFERROR(INDEX(#REF!,MATCH(AI14,#REF!,0))*AJ14,0))</f>
        <v>0</v>
      </c>
      <c r="AL14" s="101">
        <f t="shared" si="6"/>
        <v>20</v>
      </c>
      <c r="AM14" s="7" t="s">
        <v>37</v>
      </c>
      <c r="AN14" s="72">
        <v>1</v>
      </c>
      <c r="AO14" s="99">
        <f>IF(OR(AM14="",AN14=""),0,IFERROR(INDEX(#REF!,MATCH(AM14,#REF!,0))*AN14,0))</f>
        <v>0</v>
      </c>
      <c r="AP14" s="7" t="s">
        <v>36</v>
      </c>
      <c r="AQ14" s="72">
        <v>2</v>
      </c>
      <c r="AR14" s="99">
        <f>IF(OR(AP14="",AQ14=""),0,IFERROR(INDEX(#REF!,MATCH(AP14,#REF!,0))*AQ14,0))</f>
        <v>0</v>
      </c>
      <c r="AS14" s="7"/>
      <c r="AT14" s="74"/>
      <c r="AU14" s="99">
        <f>IF(OR(AS14="",AT14=""),0,IFERROR(INDEX(#REF!,MATCH(AS14,#REF!,0))*AT14,0))</f>
        <v>0</v>
      </c>
      <c r="AV14" s="7"/>
      <c r="AW14" s="74"/>
      <c r="AX14" s="99">
        <f>IF(OR(AV14="",AW14=""),0,IFERROR(INDEX(#REF!,MATCH(AV14,#REF!,0))*AW14,0))</f>
        <v>0</v>
      </c>
      <c r="AY14" s="7"/>
      <c r="AZ14" s="77"/>
      <c r="BA14" s="99">
        <f>IF(OR(AY14="",AZ14=""),0,IFERROR(INDEX(#REF!,MATCH(AY14,#REF!,0))*AZ14,0))</f>
        <v>0</v>
      </c>
      <c r="BB14" s="100">
        <f t="shared" si="7"/>
        <v>0</v>
      </c>
      <c r="BC14" s="110" t="str">
        <f t="shared" si="8"/>
        <v/>
      </c>
      <c r="BD14" s="62"/>
    </row>
    <row r="15" spans="1:56" ht="19.5" customHeight="1" x14ac:dyDescent="0.45">
      <c r="A15" s="104" t="str">
        <f>IF(B15="","","BK-"&amp;TEXT(11,"0000"))</f>
        <v>BK-0011</v>
      </c>
      <c r="B15" s="5" t="s">
        <v>105</v>
      </c>
      <c r="C15" s="23" t="s">
        <v>106</v>
      </c>
      <c r="D15" s="107"/>
      <c r="E15" s="6" t="s">
        <v>26</v>
      </c>
      <c r="F15" s="85">
        <v>46207</v>
      </c>
      <c r="G15" s="85">
        <v>46208</v>
      </c>
      <c r="H15" s="104">
        <f t="shared" si="1"/>
        <v>1</v>
      </c>
      <c r="I15" s="103" t="str">
        <f>IFERROR(INDEX(#REF!,MATCH(E15,#REF!,0)),"")</f>
        <v/>
      </c>
      <c r="J15" s="6">
        <v>15</v>
      </c>
      <c r="K15" s="103" t="str">
        <f t="shared" si="2"/>
        <v/>
      </c>
      <c r="L15" s="8">
        <v>0.75</v>
      </c>
      <c r="M15" s="102" t="str">
        <f t="shared" si="3"/>
        <v/>
      </c>
      <c r="N15" s="9"/>
      <c r="O15" s="103" t="str">
        <f t="shared" si="4"/>
        <v/>
      </c>
      <c r="P15" s="6" t="s">
        <v>2</v>
      </c>
      <c r="Q15" s="7"/>
      <c r="R15" s="10"/>
      <c r="S15" s="29" t="str">
        <f t="shared" ca="1" si="5"/>
        <v/>
      </c>
      <c r="T15" s="7" t="s">
        <v>100</v>
      </c>
      <c r="U15" s="74">
        <v>3</v>
      </c>
      <c r="V15" s="101">
        <f>IF(OR(T15="",U15=""),0,IFERROR(INDEX(#REF!,MATCH(T15,#REF!,0))*U15,0))</f>
        <v>0</v>
      </c>
      <c r="W15" s="79"/>
      <c r="X15" s="74"/>
      <c r="Y15" s="101">
        <f>IF(OR(W15="",X15=""),0,IFERROR(INDEX(#REF!,MATCH(W15,#REF!,0))*X15,0))</f>
        <v>0</v>
      </c>
      <c r="Z15" s="7"/>
      <c r="AA15" s="74"/>
      <c r="AB15" s="101">
        <f>IF(OR(Z15="",AA15=""),0,IFERROR(INDEX(#REF!,MATCH(Z15,#REF!,0))*AA15,0))</f>
        <v>0</v>
      </c>
      <c r="AC15" s="7"/>
      <c r="AD15" s="74"/>
      <c r="AE15" s="101">
        <f>IF(OR(AC15="",AD15=""),0,IFERROR(INDEX(#REF!,MATCH(AC15,#REF!,0))*AD15,0))</f>
        <v>0</v>
      </c>
      <c r="AF15" s="7"/>
      <c r="AG15" s="74"/>
      <c r="AH15" s="101">
        <f>IF(OR(AF15="",AG15=""),0,IFERROR(INDEX(#REF!,MATCH(AF15,#REF!,0))*AG15,0))</f>
        <v>0</v>
      </c>
      <c r="AI15" s="7"/>
      <c r="AJ15" s="74"/>
      <c r="AK15" s="101">
        <f>IF(OR(AI15="",AJ15=""),0,IFERROR(INDEX(#REF!,MATCH(AI15,#REF!,0))*AJ15,0))</f>
        <v>0</v>
      </c>
      <c r="AL15" s="101">
        <f t="shared" si="6"/>
        <v>0</v>
      </c>
      <c r="AM15" s="7" t="s">
        <v>34</v>
      </c>
      <c r="AN15" s="72">
        <v>1</v>
      </c>
      <c r="AO15" s="99">
        <v>55</v>
      </c>
      <c r="AP15" s="7" t="s">
        <v>36</v>
      </c>
      <c r="AQ15" s="72">
        <v>3</v>
      </c>
      <c r="AR15" s="99">
        <f>IF(OR(AP15="",AQ15=""),0,IFERROR(INDEX(#REF!,MATCH(AP15,#REF!,0))*AQ15,0))</f>
        <v>0</v>
      </c>
      <c r="AS15" s="7"/>
      <c r="AT15" s="74"/>
      <c r="AU15" s="99">
        <f>IF(OR(AS15="",AT15=""),0,IFERROR(INDEX(#REF!,MATCH(AS15,#REF!,0))*AT15,0))</f>
        <v>0</v>
      </c>
      <c r="AV15" s="7"/>
      <c r="AW15" s="74"/>
      <c r="AX15" s="99">
        <f>IF(OR(AV15="",AW15=""),0,IFERROR(INDEX(#REF!,MATCH(AV15,#REF!,0))*AW15,0))</f>
        <v>0</v>
      </c>
      <c r="AY15" s="7"/>
      <c r="AZ15" s="77"/>
      <c r="BA15" s="99">
        <f>IF(OR(AY15="",AZ15=""),0,IFERROR(INDEX(#REF!,MATCH(AY15,#REF!,0))*AZ15,0))</f>
        <v>0</v>
      </c>
      <c r="BB15" s="100">
        <f t="shared" si="7"/>
        <v>55</v>
      </c>
      <c r="BC15" s="110" t="str">
        <f t="shared" si="8"/>
        <v/>
      </c>
      <c r="BD15" s="62"/>
    </row>
    <row r="16" spans="1:56" ht="19.5" customHeight="1" x14ac:dyDescent="0.45">
      <c r="A16" s="104" t="str">
        <f>IF(B16="","","BK-"&amp;TEXT(12,"0000"))</f>
        <v>BK-0012</v>
      </c>
      <c r="B16" s="5" t="s">
        <v>107</v>
      </c>
      <c r="C16" s="23" t="s">
        <v>108</v>
      </c>
      <c r="D16" s="107"/>
      <c r="E16" s="6" t="s">
        <v>26</v>
      </c>
      <c r="F16" s="85">
        <v>46214</v>
      </c>
      <c r="G16" s="85">
        <v>46215</v>
      </c>
      <c r="H16" s="104">
        <f t="shared" si="1"/>
        <v>1</v>
      </c>
      <c r="I16" s="103" t="str">
        <f>IFERROR(INDEX(#REF!,MATCH(E16,#REF!,0)),"")</f>
        <v/>
      </c>
      <c r="J16" s="6">
        <v>15</v>
      </c>
      <c r="K16" s="103" t="str">
        <f t="shared" si="2"/>
        <v/>
      </c>
      <c r="L16" s="8">
        <v>1</v>
      </c>
      <c r="M16" s="102" t="str">
        <f t="shared" si="3"/>
        <v/>
      </c>
      <c r="N16" s="9"/>
      <c r="O16" s="105" t="str">
        <f t="shared" si="4"/>
        <v/>
      </c>
      <c r="P16" s="6" t="s">
        <v>2</v>
      </c>
      <c r="Q16" s="7"/>
      <c r="R16" s="10"/>
      <c r="S16" s="29" t="str">
        <f t="shared" ca="1" si="5"/>
        <v/>
      </c>
      <c r="T16" s="7"/>
      <c r="U16" s="74"/>
      <c r="V16" s="101">
        <f>IF(OR(T16="",U16=""),0,IFERROR(INDEX(#REF!,MATCH(T16,#REF!,0))*U16,0))</f>
        <v>0</v>
      </c>
      <c r="W16" s="79"/>
      <c r="X16" s="74"/>
      <c r="Y16" s="101">
        <f>IF(OR(W16="",X16=""),0,IFERROR(INDEX(#REF!,MATCH(W16,#REF!,0))*X16,0))</f>
        <v>0</v>
      </c>
      <c r="Z16" s="7"/>
      <c r="AA16" s="74"/>
      <c r="AB16" s="101">
        <f>IF(OR(Z16="",AA16=""),0,IFERROR(INDEX(#REF!,MATCH(Z16,#REF!,0))*AA16,0))</f>
        <v>0</v>
      </c>
      <c r="AC16" s="7"/>
      <c r="AD16" s="74"/>
      <c r="AE16" s="101">
        <f>IF(OR(AC16="",AD16=""),0,IFERROR(INDEX(#REF!,MATCH(AC16,#REF!,0))*AD16,0))</f>
        <v>0</v>
      </c>
      <c r="AF16" s="7"/>
      <c r="AG16" s="74"/>
      <c r="AH16" s="101">
        <f>IF(OR(AF16="",AG16=""),0,IFERROR(INDEX(#REF!,MATCH(AF16,#REF!,0))*AG16,0))</f>
        <v>0</v>
      </c>
      <c r="AI16" s="7"/>
      <c r="AJ16" s="74"/>
      <c r="AK16" s="101">
        <f>IF(OR(AI16="",AJ16=""),0,IFERROR(INDEX(#REF!,MATCH(AI16,#REF!,0))*AJ16,0))</f>
        <v>0</v>
      </c>
      <c r="AL16" s="101">
        <f t="shared" si="6"/>
        <v>0</v>
      </c>
      <c r="AM16" s="7"/>
      <c r="AN16" s="72"/>
      <c r="AO16" s="99">
        <f>IF(OR(AM16="",AN16=""),0,IFERROR(INDEX(#REF!,MATCH(AM16,#REF!,0))*AN16,0))</f>
        <v>0</v>
      </c>
      <c r="AP16" s="7"/>
      <c r="AQ16" s="74"/>
      <c r="AR16" s="99">
        <f>IF(OR(AP16="",AQ16=""),0,IFERROR(INDEX(#REF!,MATCH(AP16,#REF!,0))*AQ16,0))</f>
        <v>0</v>
      </c>
      <c r="AS16" s="7"/>
      <c r="AT16" s="74"/>
      <c r="AU16" s="99">
        <f>IF(OR(AS16="",AT16=""),0,IFERROR(INDEX(#REF!,MATCH(AS16,#REF!,0))*AT16,0))</f>
        <v>0</v>
      </c>
      <c r="AV16" s="7"/>
      <c r="AW16" s="74"/>
      <c r="AX16" s="99">
        <f>IF(OR(AV16="",AW16=""),0,IFERROR(INDEX(#REF!,MATCH(AV16,#REF!,0))*AW16,0))</f>
        <v>0</v>
      </c>
      <c r="AY16" s="7"/>
      <c r="AZ16" s="77"/>
      <c r="BA16" s="99">
        <f>IF(OR(AY16="",AZ16=""),0,IFERROR(INDEX(#REF!,MATCH(AY16,#REF!,0))*AZ16,0))</f>
        <v>0</v>
      </c>
      <c r="BB16" s="100">
        <f t="shared" si="7"/>
        <v>0</v>
      </c>
      <c r="BC16" s="110" t="str">
        <f t="shared" si="8"/>
        <v/>
      </c>
      <c r="BD16" s="62"/>
    </row>
    <row r="17" spans="1:56" ht="19.5" customHeight="1" x14ac:dyDescent="0.45">
      <c r="A17" s="104" t="str">
        <f>IF(B17="","","BK-"&amp;TEXT(13,"0000"))</f>
        <v>BK-0013</v>
      </c>
      <c r="B17" s="5" t="s">
        <v>109</v>
      </c>
      <c r="C17" s="23"/>
      <c r="D17" s="107"/>
      <c r="E17" s="6" t="s">
        <v>25</v>
      </c>
      <c r="F17" s="85">
        <v>46185</v>
      </c>
      <c r="G17" s="85">
        <v>46186</v>
      </c>
      <c r="H17" s="104">
        <f t="shared" si="1"/>
        <v>1</v>
      </c>
      <c r="I17" s="103" t="str">
        <f>IFERROR(INDEX(#REF!,MATCH(E17,#REF!,0)),"")</f>
        <v/>
      </c>
      <c r="J17" s="6">
        <v>12</v>
      </c>
      <c r="K17" s="103" t="str">
        <f t="shared" si="2"/>
        <v/>
      </c>
      <c r="L17" s="8">
        <v>0.28000000000000003</v>
      </c>
      <c r="M17" s="102" t="str">
        <f t="shared" si="3"/>
        <v/>
      </c>
      <c r="N17" s="9">
        <v>50</v>
      </c>
      <c r="O17" s="103" t="str">
        <f t="shared" si="4"/>
        <v/>
      </c>
      <c r="P17" s="6" t="s">
        <v>2</v>
      </c>
      <c r="Q17" s="7"/>
      <c r="R17" s="10"/>
      <c r="S17" s="29" t="str">
        <f t="shared" ca="1" si="5"/>
        <v/>
      </c>
      <c r="T17" s="7"/>
      <c r="U17" s="74"/>
      <c r="V17" s="101">
        <f>IF(OR(T17="",U17=""),0,IFERROR(INDEX(#REF!,MATCH(T17,#REF!,0))*U17,0))</f>
        <v>0</v>
      </c>
      <c r="W17" s="79"/>
      <c r="X17" s="74"/>
      <c r="Y17" s="101">
        <f>IF(OR(W17="",X17=""),0,IFERROR(INDEX(#REF!,MATCH(W17,#REF!,0))*X17,0))</f>
        <v>0</v>
      </c>
      <c r="Z17" s="7"/>
      <c r="AA17" s="74"/>
      <c r="AB17" s="101">
        <f>IF(OR(Z17="",AA17=""),0,IFERROR(INDEX(#REF!,MATCH(Z17,#REF!,0))*AA17,0))</f>
        <v>0</v>
      </c>
      <c r="AC17" s="7"/>
      <c r="AD17" s="74"/>
      <c r="AE17" s="101">
        <f>IF(OR(AC17="",AD17=""),0,IFERROR(INDEX(#REF!,MATCH(AC17,#REF!,0))*AD17,0))</f>
        <v>0</v>
      </c>
      <c r="AF17" s="7"/>
      <c r="AG17" s="74"/>
      <c r="AH17" s="101">
        <f>IF(OR(AF17="",AG17=""),0,IFERROR(INDEX(#REF!,MATCH(AF17,#REF!,0))*AG17,0))</f>
        <v>0</v>
      </c>
      <c r="AI17" s="7"/>
      <c r="AJ17" s="74"/>
      <c r="AK17" s="101">
        <f>IF(OR(AI17="",AJ17=""),0,IFERROR(INDEX(#REF!,MATCH(AI17,#REF!,0))*AJ17,0))</f>
        <v>0</v>
      </c>
      <c r="AL17" s="101">
        <f t="shared" si="6"/>
        <v>0</v>
      </c>
      <c r="AM17" s="7"/>
      <c r="AN17" s="72"/>
      <c r="AO17" s="99">
        <f>IF(OR(AM17="",AN17=""),0,IFERROR(INDEX(#REF!,MATCH(AM17,#REF!,0))*AN17,0))</f>
        <v>0</v>
      </c>
      <c r="AP17" s="7"/>
      <c r="AQ17" s="74"/>
      <c r="AR17" s="99">
        <f>IF(OR(AP17="",AQ17=""),0,IFERROR(INDEX(#REF!,MATCH(AP17,#REF!,0))*AQ17,0))</f>
        <v>0</v>
      </c>
      <c r="AS17" s="7"/>
      <c r="AT17" s="74"/>
      <c r="AU17" s="99">
        <f>IF(OR(AS17="",AT17=""),0,IFERROR(INDEX(#REF!,MATCH(AS17,#REF!,0))*AT17,0))</f>
        <v>0</v>
      </c>
      <c r="AV17" s="7"/>
      <c r="AW17" s="74"/>
      <c r="AX17" s="99">
        <f>IF(OR(AV17="",AW17=""),0,IFERROR(INDEX(#REF!,MATCH(AV17,#REF!,0))*AW17,0))</f>
        <v>0</v>
      </c>
      <c r="AY17" s="7"/>
      <c r="AZ17" s="77"/>
      <c r="BA17" s="99">
        <f>IF(OR(AY17="",AZ17=""),0,IFERROR(INDEX(#REF!,MATCH(AY17,#REF!,0))*AZ17,0))</f>
        <v>0</v>
      </c>
      <c r="BB17" s="100">
        <f t="shared" si="7"/>
        <v>0</v>
      </c>
      <c r="BC17" s="110" t="str">
        <f t="shared" si="8"/>
        <v/>
      </c>
      <c r="BD17" s="62"/>
    </row>
    <row r="18" spans="1:56" ht="19.5" customHeight="1" x14ac:dyDescent="0.45">
      <c r="A18" s="104" t="str">
        <f>IF(B18="","","BK-"&amp;TEXT(14,"0000"))</f>
        <v>BK-0014</v>
      </c>
      <c r="B18" s="5" t="s">
        <v>110</v>
      </c>
      <c r="C18" s="23"/>
      <c r="D18" s="107"/>
      <c r="E18" s="6" t="s">
        <v>25</v>
      </c>
      <c r="F18" s="85">
        <v>46186</v>
      </c>
      <c r="G18" s="85">
        <v>46187</v>
      </c>
      <c r="H18" s="104">
        <f t="shared" si="1"/>
        <v>1</v>
      </c>
      <c r="I18" s="103" t="str">
        <f>IFERROR(INDEX(#REF!,MATCH(E18,#REF!,0)),"")</f>
        <v/>
      </c>
      <c r="J18" s="6">
        <v>12</v>
      </c>
      <c r="K18" s="103" t="str">
        <f t="shared" si="2"/>
        <v/>
      </c>
      <c r="L18" s="8">
        <v>0.28000000000000003</v>
      </c>
      <c r="M18" s="102" t="str">
        <f t="shared" si="3"/>
        <v/>
      </c>
      <c r="N18" s="9">
        <v>90</v>
      </c>
      <c r="O18" s="105" t="str">
        <f t="shared" si="4"/>
        <v/>
      </c>
      <c r="P18" s="6" t="s">
        <v>2</v>
      </c>
      <c r="Q18" s="7"/>
      <c r="R18" s="10"/>
      <c r="S18" s="29" t="str">
        <f t="shared" ca="1" si="5"/>
        <v/>
      </c>
      <c r="T18" s="7" t="s">
        <v>100</v>
      </c>
      <c r="U18" s="74">
        <v>4</v>
      </c>
      <c r="V18" s="101">
        <f>IF(OR(T18="",U18=""),0,IFERROR(INDEX(#REF!,MATCH(T18,#REF!,0))*U18,0))</f>
        <v>0</v>
      </c>
      <c r="W18" s="79"/>
      <c r="X18" s="74"/>
      <c r="Y18" s="101">
        <f>IF(OR(W18="",X18=""),0,IFERROR(INDEX(#REF!,MATCH(W18,#REF!,0))*X18,0))</f>
        <v>0</v>
      </c>
      <c r="Z18" s="7"/>
      <c r="AA18" s="74"/>
      <c r="AB18" s="101">
        <f>IF(OR(Z18="",AA18=""),0,IFERROR(INDEX(#REF!,MATCH(Z18,#REF!,0))*AA18,0))</f>
        <v>0</v>
      </c>
      <c r="AC18" s="7"/>
      <c r="AD18" s="74"/>
      <c r="AE18" s="101">
        <f>IF(OR(AC18="",AD18=""),0,IFERROR(INDEX(#REF!,MATCH(AC18,#REF!,0))*AD18,0))</f>
        <v>0</v>
      </c>
      <c r="AF18" s="7"/>
      <c r="AG18" s="74"/>
      <c r="AH18" s="101">
        <f>IF(OR(AF18="",AG18=""),0,IFERROR(INDEX(#REF!,MATCH(AF18,#REF!,0))*AG18,0))</f>
        <v>0</v>
      </c>
      <c r="AI18" s="7"/>
      <c r="AJ18" s="74"/>
      <c r="AK18" s="101">
        <f>IF(OR(AI18="",AJ18=""),0,IFERROR(INDEX(#REF!,MATCH(AI18,#REF!,0))*AJ18,0))</f>
        <v>0</v>
      </c>
      <c r="AL18" s="101">
        <f t="shared" si="6"/>
        <v>0</v>
      </c>
      <c r="AM18" s="7"/>
      <c r="AN18" s="72"/>
      <c r="AO18" s="99">
        <f>IF(OR(AM18="",AN18=""),0,IFERROR(INDEX(#REF!,MATCH(AM18,#REF!,0))*AN18,0))</f>
        <v>0</v>
      </c>
      <c r="AP18" s="7"/>
      <c r="AQ18" s="74"/>
      <c r="AR18" s="99">
        <f>IF(OR(AP18="",AQ18=""),0,IFERROR(INDEX(#REF!,MATCH(AP18,#REF!,0))*AQ18,0))</f>
        <v>0</v>
      </c>
      <c r="AS18" s="7"/>
      <c r="AT18" s="74"/>
      <c r="AU18" s="99">
        <f>IF(OR(AS18="",AT18=""),0,IFERROR(INDEX(#REF!,MATCH(AS18,#REF!,0))*AT18,0))</f>
        <v>0</v>
      </c>
      <c r="AV18" s="7"/>
      <c r="AW18" s="74"/>
      <c r="AX18" s="99">
        <f>IF(OR(AV18="",AW18=""),0,IFERROR(INDEX(#REF!,MATCH(AV18,#REF!,0))*AW18,0))</f>
        <v>0</v>
      </c>
      <c r="AY18" s="7"/>
      <c r="AZ18" s="77"/>
      <c r="BA18" s="99">
        <f>IF(OR(AY18="",AZ18=""),0,IFERROR(INDEX(#REF!,MATCH(AY18,#REF!,0))*AZ18,0))</f>
        <v>0</v>
      </c>
      <c r="BB18" s="100">
        <f t="shared" si="7"/>
        <v>0</v>
      </c>
      <c r="BC18" s="110" t="str">
        <f t="shared" si="8"/>
        <v/>
      </c>
      <c r="BD18" s="62"/>
    </row>
    <row r="19" spans="1:56" ht="19.5" customHeight="1" x14ac:dyDescent="0.45">
      <c r="A19" s="104" t="str">
        <f>IF(B19="","","BK-"&amp;TEXT(15,"0000"))</f>
        <v>BK-0015</v>
      </c>
      <c r="B19" s="5" t="s">
        <v>111</v>
      </c>
      <c r="C19" s="23" t="s">
        <v>112</v>
      </c>
      <c r="D19" s="107"/>
      <c r="E19" s="6" t="s">
        <v>25</v>
      </c>
      <c r="F19" s="85">
        <v>46193</v>
      </c>
      <c r="G19" s="85">
        <v>46194</v>
      </c>
      <c r="H19" s="104">
        <f t="shared" si="1"/>
        <v>1</v>
      </c>
      <c r="I19" s="103" t="str">
        <f>IFERROR(INDEX(#REF!,MATCH(E19,#REF!,0)),"")</f>
        <v/>
      </c>
      <c r="J19" s="6">
        <v>12</v>
      </c>
      <c r="K19" s="103" t="str">
        <f t="shared" si="2"/>
        <v/>
      </c>
      <c r="L19" s="8">
        <v>0.28000000000000003</v>
      </c>
      <c r="M19" s="102" t="str">
        <f t="shared" si="3"/>
        <v/>
      </c>
      <c r="N19" s="9">
        <v>90</v>
      </c>
      <c r="O19" s="103" t="str">
        <f t="shared" si="4"/>
        <v/>
      </c>
      <c r="P19" s="6" t="s">
        <v>2</v>
      </c>
      <c r="Q19" s="7"/>
      <c r="R19" s="10"/>
      <c r="S19" s="29" t="str">
        <f t="shared" ca="1" si="5"/>
        <v/>
      </c>
      <c r="T19" s="7"/>
      <c r="U19" s="74"/>
      <c r="V19" s="101">
        <f>IF(OR(T19="",U19=""),0,IFERROR(INDEX(#REF!,MATCH(T19,#REF!,0))*U19,0))</f>
        <v>0</v>
      </c>
      <c r="W19" s="79"/>
      <c r="X19" s="74"/>
      <c r="Y19" s="101">
        <f>IF(OR(W19="",X19=""),0,IFERROR(INDEX(#REF!,MATCH(W19,#REF!,0))*X19,0))</f>
        <v>0</v>
      </c>
      <c r="Z19" s="7"/>
      <c r="AA19" s="74"/>
      <c r="AB19" s="101">
        <f>IF(OR(Z19="",AA19=""),0,IFERROR(INDEX(#REF!,MATCH(Z19,#REF!,0))*AA19,0))</f>
        <v>0</v>
      </c>
      <c r="AC19" s="7"/>
      <c r="AD19" s="74"/>
      <c r="AE19" s="101">
        <f>IF(OR(AC19="",AD19=""),0,IFERROR(INDEX(#REF!,MATCH(AC19,#REF!,0))*AD19,0))</f>
        <v>0</v>
      </c>
      <c r="AF19" s="7"/>
      <c r="AG19" s="74"/>
      <c r="AH19" s="101">
        <f>IF(OR(AF19="",AG19=""),0,IFERROR(INDEX(#REF!,MATCH(AF19,#REF!,0))*AG19,0))</f>
        <v>0</v>
      </c>
      <c r="AI19" s="7"/>
      <c r="AJ19" s="74"/>
      <c r="AK19" s="101">
        <f>IF(OR(AI19="",AJ19=""),0,IFERROR(INDEX(#REF!,MATCH(AI19,#REF!,0))*AJ19,0))</f>
        <v>0</v>
      </c>
      <c r="AL19" s="101">
        <f t="shared" si="6"/>
        <v>0</v>
      </c>
      <c r="AM19" s="7" t="s">
        <v>36</v>
      </c>
      <c r="AN19" s="72">
        <v>2</v>
      </c>
      <c r="AO19" s="99">
        <f>IF(OR(AM19="",AN19=""),0,IFERROR(INDEX(#REF!,MATCH(AM19,#REF!,0))*AN19,0))</f>
        <v>0</v>
      </c>
      <c r="AP19" s="7" t="s">
        <v>38</v>
      </c>
      <c r="AQ19" s="72">
        <v>1</v>
      </c>
      <c r="AR19" s="99">
        <v>5</v>
      </c>
      <c r="AS19" s="7"/>
      <c r="AT19" s="74"/>
      <c r="AU19" s="99">
        <f>IF(OR(AS19="",AT19=""),0,IFERROR(INDEX(#REF!,MATCH(AS19,#REF!,0))*AT19,0))</f>
        <v>0</v>
      </c>
      <c r="AV19" s="7"/>
      <c r="AW19" s="74"/>
      <c r="AX19" s="99">
        <f>IF(OR(AV19="",AW19=""),0,IFERROR(INDEX(#REF!,MATCH(AV19,#REF!,0))*AW19,0))</f>
        <v>0</v>
      </c>
      <c r="AY19" s="7"/>
      <c r="AZ19" s="77"/>
      <c r="BA19" s="99">
        <f>IF(OR(AY19="",AZ19=""),0,IFERROR(INDEX(#REF!,MATCH(AY19,#REF!,0))*AZ19,0))</f>
        <v>0</v>
      </c>
      <c r="BB19" s="100">
        <f t="shared" si="7"/>
        <v>5</v>
      </c>
      <c r="BC19" s="110" t="str">
        <f t="shared" si="8"/>
        <v/>
      </c>
      <c r="BD19" s="62"/>
    </row>
    <row r="20" spans="1:56" ht="19.5" customHeight="1" x14ac:dyDescent="0.45">
      <c r="A20" s="104" t="str">
        <f>IF(B20="","","BK-"&amp;TEXT(16,"0000"))</f>
        <v>BK-0016</v>
      </c>
      <c r="B20" s="5" t="s">
        <v>113</v>
      </c>
      <c r="C20" s="23" t="s">
        <v>114</v>
      </c>
      <c r="D20" s="107"/>
      <c r="E20" s="6" t="s">
        <v>25</v>
      </c>
      <c r="F20" s="85">
        <v>46200</v>
      </c>
      <c r="G20" s="85">
        <v>46201</v>
      </c>
      <c r="H20" s="104">
        <f t="shared" si="1"/>
        <v>1</v>
      </c>
      <c r="I20" s="103" t="str">
        <f>IFERROR(INDEX(#REF!,MATCH(E20,#REF!,0)),"")</f>
        <v/>
      </c>
      <c r="J20" s="6">
        <v>24</v>
      </c>
      <c r="K20" s="103" t="str">
        <f t="shared" si="2"/>
        <v/>
      </c>
      <c r="L20" s="8">
        <v>0.28000000000000003</v>
      </c>
      <c r="M20" s="102" t="str">
        <f t="shared" si="3"/>
        <v/>
      </c>
      <c r="N20" s="9">
        <v>20</v>
      </c>
      <c r="O20" s="105" t="str">
        <f t="shared" si="4"/>
        <v/>
      </c>
      <c r="P20" s="6" t="s">
        <v>2</v>
      </c>
      <c r="Q20" s="7"/>
      <c r="R20" s="10"/>
      <c r="S20" s="29" t="str">
        <f t="shared" ca="1" si="5"/>
        <v/>
      </c>
      <c r="T20" s="7" t="s">
        <v>100</v>
      </c>
      <c r="U20" s="74">
        <v>3</v>
      </c>
      <c r="V20" s="101">
        <f>IF(OR(T20="",U20=""),0,IFERROR(INDEX(#REF!,MATCH(T20,#REF!,0))*U20,0))</f>
        <v>0</v>
      </c>
      <c r="W20" s="79"/>
      <c r="X20" s="74"/>
      <c r="Y20" s="101">
        <f>IF(OR(W20="",X20=""),0,IFERROR(INDEX(#REF!,MATCH(W20,#REF!,0))*X20,0))</f>
        <v>0</v>
      </c>
      <c r="Z20" s="7"/>
      <c r="AA20" s="74"/>
      <c r="AB20" s="101">
        <f>IF(OR(Z20="",AA20=""),0,IFERROR(INDEX(#REF!,MATCH(Z20,#REF!,0))*AA20,0))</f>
        <v>0</v>
      </c>
      <c r="AC20" s="7"/>
      <c r="AD20" s="74"/>
      <c r="AE20" s="101">
        <f>IF(OR(AC20="",AD20=""),0,IFERROR(INDEX(#REF!,MATCH(AC20,#REF!,0))*AD20,0))</f>
        <v>0</v>
      </c>
      <c r="AF20" s="7"/>
      <c r="AG20" s="74"/>
      <c r="AH20" s="101">
        <f>IF(OR(AF20="",AG20=""),0,IFERROR(INDEX(#REF!,MATCH(AF20,#REF!,0))*AG20,0))</f>
        <v>0</v>
      </c>
      <c r="AI20" s="7"/>
      <c r="AJ20" s="74"/>
      <c r="AK20" s="101">
        <f>IF(OR(AI20="",AJ20=""),0,IFERROR(INDEX(#REF!,MATCH(AI20,#REF!,0))*AJ20,0))</f>
        <v>0</v>
      </c>
      <c r="AL20" s="101">
        <f t="shared" si="6"/>
        <v>0</v>
      </c>
      <c r="AM20" s="7" t="s">
        <v>37</v>
      </c>
      <c r="AN20" s="72">
        <v>1</v>
      </c>
      <c r="AO20" s="99">
        <v>34</v>
      </c>
      <c r="AP20" s="7" t="s">
        <v>36</v>
      </c>
      <c r="AQ20" s="72">
        <v>2</v>
      </c>
      <c r="AR20" s="99">
        <f>IF(OR(AP20="",AQ20=""),0,IFERROR(INDEX(#REF!,MATCH(AP20,#REF!,0))*AQ20,0))</f>
        <v>0</v>
      </c>
      <c r="AS20" s="7"/>
      <c r="AT20" s="74"/>
      <c r="AU20" s="99">
        <f>IF(OR(AS20="",AT20=""),0,IFERROR(INDEX(#REF!,MATCH(AS20,#REF!,0))*AT20,0))</f>
        <v>0</v>
      </c>
      <c r="AV20" s="7"/>
      <c r="AW20" s="74"/>
      <c r="AX20" s="99">
        <f>IF(OR(AV20="",AW20=""),0,IFERROR(INDEX(#REF!,MATCH(AV20,#REF!,0))*AW20,0))</f>
        <v>0</v>
      </c>
      <c r="AY20" s="7"/>
      <c r="AZ20" s="77"/>
      <c r="BA20" s="99">
        <f>IF(OR(AY20="",AZ20=""),0,IFERROR(INDEX(#REF!,MATCH(AY20,#REF!,0))*AZ20,0))</f>
        <v>0</v>
      </c>
      <c r="BB20" s="100">
        <f t="shared" si="7"/>
        <v>34</v>
      </c>
      <c r="BC20" s="110" t="str">
        <f t="shared" si="8"/>
        <v/>
      </c>
      <c r="BD20" s="62"/>
    </row>
    <row r="21" spans="1:56" ht="19.5" customHeight="1" x14ac:dyDescent="0.45">
      <c r="A21" s="104" t="str">
        <f t="shared" ref="A21:A84" si="9">IF(B21="","","BK-"&amp;TEXT(ROW()-4,"0000"))</f>
        <v>BK-0017</v>
      </c>
      <c r="B21" s="16" t="s">
        <v>115</v>
      </c>
      <c r="C21" s="24" t="s">
        <v>116</v>
      </c>
      <c r="D21" s="107"/>
      <c r="E21" s="6" t="s">
        <v>25</v>
      </c>
      <c r="F21" s="85">
        <v>46207</v>
      </c>
      <c r="G21" s="85">
        <v>46208</v>
      </c>
      <c r="H21" s="104">
        <f t="shared" si="1"/>
        <v>1</v>
      </c>
      <c r="I21" s="103" t="str">
        <f>IFERROR(INDEX(#REF!,MATCH(E21,#REF!,0)),"")</f>
        <v/>
      </c>
      <c r="J21" s="6">
        <v>12</v>
      </c>
      <c r="K21" s="103" t="str">
        <f t="shared" si="2"/>
        <v/>
      </c>
      <c r="L21" s="8">
        <v>0.28000000000000003</v>
      </c>
      <c r="M21" s="102" t="str">
        <f t="shared" si="3"/>
        <v/>
      </c>
      <c r="N21" s="9">
        <v>90</v>
      </c>
      <c r="O21" s="103" t="str">
        <f t="shared" si="4"/>
        <v/>
      </c>
      <c r="P21" s="6" t="s">
        <v>2</v>
      </c>
      <c r="Q21" s="7"/>
      <c r="R21" s="10"/>
      <c r="S21" s="29" t="str">
        <f t="shared" ca="1" si="5"/>
        <v/>
      </c>
      <c r="T21" s="7" t="s">
        <v>100</v>
      </c>
      <c r="U21" s="74">
        <v>3</v>
      </c>
      <c r="V21" s="101">
        <f>IF(OR(T21="",U21=""),0,IFERROR(INDEX(#REF!,MATCH(T21,#REF!,0))*U21,0))</f>
        <v>0</v>
      </c>
      <c r="W21" s="79"/>
      <c r="X21" s="74"/>
      <c r="Y21" s="101">
        <f>IF(OR(W21="",X21=""),0,IFERROR(INDEX(#REF!,MATCH(W21,#REF!,0))*X21,0))</f>
        <v>0</v>
      </c>
      <c r="Z21" s="7"/>
      <c r="AA21" s="74"/>
      <c r="AB21" s="101">
        <f>IF(OR(Z21="",AA21=""),0,IFERROR(INDEX(#REF!,MATCH(Z21,#REF!,0))*AA21,0))</f>
        <v>0</v>
      </c>
      <c r="AC21" s="7"/>
      <c r="AD21" s="74"/>
      <c r="AE21" s="101">
        <f>IF(OR(AC21="",AD21=""),0,IFERROR(INDEX(#REF!,MATCH(AC21,#REF!,0))*AD21,0))</f>
        <v>0</v>
      </c>
      <c r="AF21" s="7"/>
      <c r="AG21" s="74"/>
      <c r="AH21" s="101">
        <f>IF(OR(AF21="",AG21=""),0,IFERROR(INDEX(#REF!,MATCH(AF21,#REF!,0))*AG21,0))</f>
        <v>0</v>
      </c>
      <c r="AI21" s="7"/>
      <c r="AJ21" s="74"/>
      <c r="AK21" s="101">
        <f>IF(OR(AI21="",AJ21=""),0,IFERROR(INDEX(#REF!,MATCH(AI21,#REF!,0))*AJ21,0))</f>
        <v>0</v>
      </c>
      <c r="AL21" s="101">
        <f t="shared" si="6"/>
        <v>0</v>
      </c>
      <c r="AM21" s="7" t="s">
        <v>37</v>
      </c>
      <c r="AN21" s="72">
        <v>1</v>
      </c>
      <c r="AO21" s="99">
        <v>50</v>
      </c>
      <c r="AP21" s="7" t="s">
        <v>36</v>
      </c>
      <c r="AQ21" s="72">
        <v>2</v>
      </c>
      <c r="AR21" s="99">
        <f>IF(OR(AP21="",AQ21=""),0,IFERROR(INDEX(#REF!,MATCH(AP21,#REF!,0))*AQ21,0))</f>
        <v>0</v>
      </c>
      <c r="AS21" s="7"/>
      <c r="AT21" s="74"/>
      <c r="AU21" s="99">
        <f>IF(OR(AS21="",AT21=""),0,IFERROR(INDEX(#REF!,MATCH(AS21,#REF!,0))*AT21,0))</f>
        <v>0</v>
      </c>
      <c r="AV21" s="7"/>
      <c r="AW21" s="74"/>
      <c r="AX21" s="99">
        <f>IF(OR(AV21="",AW21=""),0,IFERROR(INDEX(#REF!,MATCH(AV21,#REF!,0))*AW21,0))</f>
        <v>0</v>
      </c>
      <c r="AY21" s="7"/>
      <c r="AZ21" s="77"/>
      <c r="BA21" s="99">
        <f>IF(OR(AY21="",AZ21=""),0,IFERROR(INDEX(#REF!,MATCH(AY21,#REF!,0))*AZ21,0))</f>
        <v>0</v>
      </c>
      <c r="BB21" s="100">
        <f t="shared" si="7"/>
        <v>50</v>
      </c>
      <c r="BC21" s="110" t="str">
        <f t="shared" si="8"/>
        <v/>
      </c>
      <c r="BD21" s="62"/>
    </row>
    <row r="22" spans="1:56" ht="19.5" customHeight="1" x14ac:dyDescent="0.45">
      <c r="A22" s="104" t="str">
        <f t="shared" si="9"/>
        <v>BK-0018</v>
      </c>
      <c r="B22" s="5" t="s">
        <v>117</v>
      </c>
      <c r="C22" s="23" t="s">
        <v>54</v>
      </c>
      <c r="D22" s="107"/>
      <c r="E22" s="6" t="s">
        <v>25</v>
      </c>
      <c r="F22" s="85">
        <v>46214</v>
      </c>
      <c r="G22" s="85">
        <v>46215</v>
      </c>
      <c r="H22" s="104">
        <f t="shared" si="1"/>
        <v>1</v>
      </c>
      <c r="I22" s="103" t="str">
        <f>IFERROR(INDEX(#REF!,MATCH(E22,#REF!,0)),"")</f>
        <v/>
      </c>
      <c r="J22" s="6">
        <v>12</v>
      </c>
      <c r="K22" s="103" t="str">
        <f t="shared" si="2"/>
        <v/>
      </c>
      <c r="L22" s="8">
        <v>0.28000000000000003</v>
      </c>
      <c r="M22" s="102" t="str">
        <f t="shared" si="3"/>
        <v/>
      </c>
      <c r="N22" s="9"/>
      <c r="O22" s="103" t="str">
        <f t="shared" si="4"/>
        <v/>
      </c>
      <c r="P22" s="6" t="s">
        <v>2</v>
      </c>
      <c r="Q22" s="7"/>
      <c r="R22" s="10"/>
      <c r="S22" s="29" t="str">
        <f t="shared" ca="1" si="5"/>
        <v/>
      </c>
      <c r="T22" s="7"/>
      <c r="U22" s="74"/>
      <c r="V22" s="101">
        <f>IF(OR(T22="",U22=""),0,IFERROR(INDEX(#REF!,MATCH(T22,#REF!,0))*U22,0))</f>
        <v>0</v>
      </c>
      <c r="W22" s="79"/>
      <c r="X22" s="74"/>
      <c r="Y22" s="101">
        <f>IF(OR(W22="",X22=""),0,IFERROR(INDEX(#REF!,MATCH(W22,#REF!,0))*X22,0))</f>
        <v>0</v>
      </c>
      <c r="Z22" s="7"/>
      <c r="AA22" s="74"/>
      <c r="AB22" s="101">
        <f>IF(OR(Z22="",AA22=""),0,IFERROR(INDEX(#REF!,MATCH(Z22,#REF!,0))*AA22,0))</f>
        <v>0</v>
      </c>
      <c r="AC22" s="7"/>
      <c r="AD22" s="74"/>
      <c r="AE22" s="101">
        <f>IF(OR(AC22="",AD22=""),0,IFERROR(INDEX(#REF!,MATCH(AC22,#REF!,0))*AD22,0))</f>
        <v>0</v>
      </c>
      <c r="AF22" s="7"/>
      <c r="AG22" s="74"/>
      <c r="AH22" s="101">
        <f>IF(OR(AF22="",AG22=""),0,IFERROR(INDEX(#REF!,MATCH(AF22,#REF!,0))*AG22,0))</f>
        <v>0</v>
      </c>
      <c r="AI22" s="7"/>
      <c r="AJ22" s="74"/>
      <c r="AK22" s="101">
        <f>IF(OR(AI22="",AJ22=""),0,IFERROR(INDEX(#REF!,MATCH(AI22,#REF!,0))*AJ22,0))</f>
        <v>0</v>
      </c>
      <c r="AL22" s="101">
        <f t="shared" si="6"/>
        <v>0</v>
      </c>
      <c r="AM22" s="7"/>
      <c r="AN22" s="72"/>
      <c r="AO22" s="99">
        <f>IF(OR(AM22="",AN22=""),0,IFERROR(INDEX(#REF!,MATCH(AM22,#REF!,0))*AN22,0))</f>
        <v>0</v>
      </c>
      <c r="AP22" s="7"/>
      <c r="AQ22" s="74"/>
      <c r="AR22" s="99">
        <f>IF(OR(AP22="",AQ22=""),0,IFERROR(INDEX(#REF!,MATCH(AP22,#REF!,0))*AQ22,0))</f>
        <v>0</v>
      </c>
      <c r="AS22" s="7"/>
      <c r="AT22" s="74"/>
      <c r="AU22" s="99">
        <f>IF(OR(AS22="",AT22=""),0,IFERROR(INDEX(#REF!,MATCH(AS22,#REF!,0))*AT22,0))</f>
        <v>0</v>
      </c>
      <c r="AV22" s="7"/>
      <c r="AW22" s="74"/>
      <c r="AX22" s="99">
        <f>IF(OR(AV22="",AW22=""),0,IFERROR(INDEX(#REF!,MATCH(AV22,#REF!,0))*AW22,0))</f>
        <v>0</v>
      </c>
      <c r="AY22" s="7"/>
      <c r="AZ22" s="77"/>
      <c r="BA22" s="99">
        <f>IF(OR(AY22="",AZ22=""),0,IFERROR(INDEX(#REF!,MATCH(AY22,#REF!,0))*AZ22,0))</f>
        <v>0</v>
      </c>
      <c r="BB22" s="100">
        <f t="shared" si="7"/>
        <v>0</v>
      </c>
      <c r="BC22" s="110" t="str">
        <f t="shared" si="8"/>
        <v/>
      </c>
      <c r="BD22" s="62"/>
    </row>
    <row r="23" spans="1:56" ht="19.5" customHeight="1" x14ac:dyDescent="0.45">
      <c r="A23" s="104" t="str">
        <f t="shared" si="9"/>
        <v>BK-0019</v>
      </c>
      <c r="B23" s="5" t="s">
        <v>118</v>
      </c>
      <c r="C23" s="109" t="s">
        <v>119</v>
      </c>
      <c r="D23" s="107"/>
      <c r="E23" s="6" t="s">
        <v>25</v>
      </c>
      <c r="F23" s="85">
        <v>46221</v>
      </c>
      <c r="G23" s="85">
        <v>46222</v>
      </c>
      <c r="H23" s="104">
        <f t="shared" si="1"/>
        <v>1</v>
      </c>
      <c r="I23" s="103" t="str">
        <f>IFERROR(INDEX(#REF!,MATCH(E23,#REF!,0)),"")</f>
        <v/>
      </c>
      <c r="J23" s="6">
        <v>10</v>
      </c>
      <c r="K23" s="103" t="str">
        <f t="shared" si="2"/>
        <v/>
      </c>
      <c r="L23" s="8">
        <v>0.28000000000000003</v>
      </c>
      <c r="M23" s="102" t="str">
        <f t="shared" si="3"/>
        <v/>
      </c>
      <c r="N23" s="9">
        <v>90</v>
      </c>
      <c r="O23" s="103" t="str">
        <f t="shared" si="4"/>
        <v/>
      </c>
      <c r="P23" s="6" t="s">
        <v>2</v>
      </c>
      <c r="Q23" s="7"/>
      <c r="R23" s="10"/>
      <c r="S23" s="29" t="str">
        <f t="shared" ca="1" si="5"/>
        <v/>
      </c>
      <c r="T23" s="7" t="s">
        <v>100</v>
      </c>
      <c r="U23" s="74">
        <v>1</v>
      </c>
      <c r="V23" s="101">
        <f>IF(OR(T23="",U23=""),0,IFERROR(INDEX(#REF!,MATCH(T23,#REF!,0))*U23,0))</f>
        <v>0</v>
      </c>
      <c r="W23" s="79"/>
      <c r="X23" s="74"/>
      <c r="Y23" s="101">
        <f>IF(OR(W23="",X23=""),0,IFERROR(INDEX(#REF!,MATCH(W23,#REF!,0))*X23,0))</f>
        <v>0</v>
      </c>
      <c r="Z23" s="7"/>
      <c r="AA23" s="74"/>
      <c r="AB23" s="101">
        <f>IF(OR(Z23="",AA23=""),0,IFERROR(INDEX(#REF!,MATCH(Z23,#REF!,0))*AA23,0))</f>
        <v>0</v>
      </c>
      <c r="AC23" s="7"/>
      <c r="AD23" s="74"/>
      <c r="AE23" s="101">
        <f>IF(OR(AC23="",AD23=""),0,IFERROR(INDEX(#REF!,MATCH(AC23,#REF!,0))*AD23,0))</f>
        <v>0</v>
      </c>
      <c r="AF23" s="7"/>
      <c r="AG23" s="74"/>
      <c r="AH23" s="101">
        <f>IF(OR(AF23="",AG23=""),0,IFERROR(INDEX(#REF!,MATCH(AF23,#REF!,0))*AG23,0))</f>
        <v>0</v>
      </c>
      <c r="AI23" s="7"/>
      <c r="AJ23" s="74"/>
      <c r="AK23" s="101">
        <f>IF(OR(AI23="",AJ23=""),0,IFERROR(INDEX(#REF!,MATCH(AI23,#REF!,0))*AJ23,0))</f>
        <v>0</v>
      </c>
      <c r="AL23" s="101">
        <f t="shared" si="6"/>
        <v>0</v>
      </c>
      <c r="AM23" s="7"/>
      <c r="AN23" s="72"/>
      <c r="AO23" s="99">
        <f>IF(OR(AM23="",AN23=""),0,IFERROR(INDEX(#REF!,MATCH(AM23,#REF!,0))*AN23,0))</f>
        <v>0</v>
      </c>
      <c r="AP23" s="7"/>
      <c r="AQ23" s="74"/>
      <c r="AR23" s="99">
        <f>IF(OR(AP23="",AQ23=""),0,IFERROR(INDEX(#REF!,MATCH(AP23,#REF!,0))*AQ23,0))</f>
        <v>0</v>
      </c>
      <c r="AS23" s="7"/>
      <c r="AT23" s="74"/>
      <c r="AU23" s="99">
        <f>IF(OR(AS23="",AT23=""),0,IFERROR(INDEX(#REF!,MATCH(AS23,#REF!,0))*AT23,0))</f>
        <v>0</v>
      </c>
      <c r="AV23" s="7"/>
      <c r="AW23" s="74"/>
      <c r="AX23" s="99">
        <f>IF(OR(AV23="",AW23=""),0,IFERROR(INDEX(#REF!,MATCH(AV23,#REF!,0))*AW23,0))</f>
        <v>0</v>
      </c>
      <c r="AY23" s="7"/>
      <c r="AZ23" s="77"/>
      <c r="BA23" s="99">
        <f>IF(OR(AY23="",AZ23=""),0,IFERROR(INDEX(#REF!,MATCH(AY23,#REF!,0))*AZ23,0))</f>
        <v>0</v>
      </c>
      <c r="BB23" s="100">
        <f t="shared" si="7"/>
        <v>0</v>
      </c>
      <c r="BC23" s="110" t="str">
        <f t="shared" si="8"/>
        <v/>
      </c>
      <c r="BD23" s="62"/>
    </row>
    <row r="24" spans="1:56" ht="19.5" customHeight="1" x14ac:dyDescent="0.45">
      <c r="A24" s="104" t="str">
        <f t="shared" si="9"/>
        <v>BK-0020</v>
      </c>
      <c r="B24" s="5" t="s">
        <v>111</v>
      </c>
      <c r="C24" s="109" t="s">
        <v>112</v>
      </c>
      <c r="D24" s="107"/>
      <c r="E24" s="6" t="s">
        <v>25</v>
      </c>
      <c r="F24" s="85">
        <v>46305</v>
      </c>
      <c r="G24" s="85">
        <v>46306</v>
      </c>
      <c r="H24" s="104">
        <f t="shared" si="1"/>
        <v>1</v>
      </c>
      <c r="I24" s="103" t="str">
        <f>IFERROR(INDEX(#REF!,MATCH(E24,#REF!,0)),"")</f>
        <v/>
      </c>
      <c r="J24" s="6">
        <v>12</v>
      </c>
      <c r="K24" s="103" t="str">
        <f t="shared" si="2"/>
        <v/>
      </c>
      <c r="L24" s="8">
        <v>0.28000000000000003</v>
      </c>
      <c r="M24" s="102" t="str">
        <f t="shared" si="3"/>
        <v/>
      </c>
      <c r="N24" s="9">
        <v>100</v>
      </c>
      <c r="O24" s="103" t="str">
        <f t="shared" si="4"/>
        <v/>
      </c>
      <c r="P24" s="6" t="s">
        <v>2</v>
      </c>
      <c r="Q24" s="7"/>
      <c r="R24" s="10"/>
      <c r="S24" s="29">
        <f t="shared" ca="1" si="5"/>
        <v>46305.000240000001</v>
      </c>
      <c r="T24" s="7"/>
      <c r="U24" s="74"/>
      <c r="V24" s="101">
        <f>IF(OR(T24="",U24=""),0,IFERROR(INDEX(#REF!,MATCH(T24,#REF!,0))*U24,0))</f>
        <v>0</v>
      </c>
      <c r="W24" s="79"/>
      <c r="X24" s="74"/>
      <c r="Y24" s="101">
        <f>IF(OR(W24="",X24=""),0,IFERROR(INDEX(#REF!,MATCH(W24,#REF!,0))*X24,0))</f>
        <v>0</v>
      </c>
      <c r="Z24" s="7"/>
      <c r="AA24" s="74"/>
      <c r="AB24" s="101">
        <f>IF(OR(Z24="",AA24=""),0,IFERROR(INDEX(#REF!,MATCH(Z24,#REF!,0))*AA24,0))</f>
        <v>0</v>
      </c>
      <c r="AC24" s="7"/>
      <c r="AD24" s="74"/>
      <c r="AE24" s="101">
        <f>IF(OR(AC24="",AD24=""),0,IFERROR(INDEX(#REF!,MATCH(AC24,#REF!,0))*AD24,0))</f>
        <v>0</v>
      </c>
      <c r="AF24" s="7"/>
      <c r="AG24" s="74"/>
      <c r="AH24" s="101">
        <f>IF(OR(AF24="",AG24=""),0,IFERROR(INDEX(#REF!,MATCH(AF24,#REF!,0))*AG24,0))</f>
        <v>0</v>
      </c>
      <c r="AI24" s="7"/>
      <c r="AJ24" s="74"/>
      <c r="AK24" s="101">
        <f>IF(OR(AI24="",AJ24=""),0,IFERROR(INDEX(#REF!,MATCH(AI24,#REF!,0))*AJ24,0))</f>
        <v>0</v>
      </c>
      <c r="AL24" s="101">
        <f t="shared" si="6"/>
        <v>0</v>
      </c>
      <c r="AM24" s="7"/>
      <c r="AN24" s="72"/>
      <c r="AO24" s="99">
        <f>IF(OR(AM24="",AN24=""),0,IFERROR(INDEX(#REF!,MATCH(AM24,#REF!,0))*AN24,0))</f>
        <v>0</v>
      </c>
      <c r="AP24" s="7"/>
      <c r="AQ24" s="74"/>
      <c r="AR24" s="99">
        <f>IF(OR(AP24="",AQ24=""),0,IFERROR(INDEX(#REF!,MATCH(AP24,#REF!,0))*AQ24,0))</f>
        <v>0</v>
      </c>
      <c r="AS24" s="7"/>
      <c r="AT24" s="74"/>
      <c r="AU24" s="99">
        <f>IF(OR(AS24="",AT24=""),0,IFERROR(INDEX(#REF!,MATCH(AS24,#REF!,0))*AT24,0))</f>
        <v>0</v>
      </c>
      <c r="AV24" s="7"/>
      <c r="AW24" s="74"/>
      <c r="AX24" s="99">
        <f>IF(OR(AV24="",AW24=""),0,IFERROR(INDEX(#REF!,MATCH(AV24,#REF!,0))*AW24,0))</f>
        <v>0</v>
      </c>
      <c r="AY24" s="7"/>
      <c r="AZ24" s="77"/>
      <c r="BA24" s="99">
        <f>IF(OR(AY24="",AZ24=""),0,IFERROR(INDEX(#REF!,MATCH(AY24,#REF!,0))*AZ24,0))</f>
        <v>0</v>
      </c>
      <c r="BB24" s="100">
        <f t="shared" si="7"/>
        <v>0</v>
      </c>
      <c r="BC24" s="110" t="str">
        <f t="shared" si="8"/>
        <v/>
      </c>
      <c r="BD24" s="62"/>
    </row>
    <row r="25" spans="1:56" ht="19.5" customHeight="1" x14ac:dyDescent="0.45">
      <c r="A25" s="104" t="str">
        <f t="shared" si="9"/>
        <v/>
      </c>
      <c r="B25" s="5"/>
      <c r="C25" s="109"/>
      <c r="D25" s="107"/>
      <c r="E25" s="6"/>
      <c r="F25" s="85"/>
      <c r="G25" s="85"/>
      <c r="H25" s="104" t="str">
        <f t="shared" si="1"/>
        <v/>
      </c>
      <c r="I25" s="103" t="str">
        <f>IFERROR(INDEX(#REF!,MATCH(E25,#REF!,0)),"")</f>
        <v/>
      </c>
      <c r="J25" s="6"/>
      <c r="K25" s="103" t="str">
        <f t="shared" si="2"/>
        <v/>
      </c>
      <c r="L25" s="8"/>
      <c r="M25" s="102" t="str">
        <f t="shared" si="3"/>
        <v/>
      </c>
      <c r="N25" s="9"/>
      <c r="O25" s="103" t="str">
        <f t="shared" si="4"/>
        <v/>
      </c>
      <c r="P25" s="6"/>
      <c r="Q25" s="7"/>
      <c r="R25" s="10"/>
      <c r="S25" s="29" t="str">
        <f t="shared" ca="1" si="5"/>
        <v/>
      </c>
      <c r="T25" s="7"/>
      <c r="U25" s="74"/>
      <c r="V25" s="101">
        <f>IF(OR(T25="",U25=""),0,IFERROR(INDEX(#REF!,MATCH(T25,#REF!,0))*U25,0))</f>
        <v>0</v>
      </c>
      <c r="W25" s="79"/>
      <c r="X25" s="74"/>
      <c r="Y25" s="101">
        <f>IF(OR(W25="",X25=""),0,IFERROR(INDEX(#REF!,MATCH(W25,#REF!,0))*X25,0))</f>
        <v>0</v>
      </c>
      <c r="Z25" s="7"/>
      <c r="AA25" s="74"/>
      <c r="AB25" s="101">
        <f>IF(OR(Z25="",AA25=""),0,IFERROR(INDEX(#REF!,MATCH(Z25,#REF!,0))*AA25,0))</f>
        <v>0</v>
      </c>
      <c r="AC25" s="7"/>
      <c r="AD25" s="74"/>
      <c r="AE25" s="101">
        <f>IF(OR(AC25="",AD25=""),0,IFERROR(INDEX(#REF!,MATCH(AC25,#REF!,0))*AD25,0))</f>
        <v>0</v>
      </c>
      <c r="AF25" s="7"/>
      <c r="AG25" s="74"/>
      <c r="AH25" s="101">
        <f>IF(OR(AF25="",AG25=""),0,IFERROR(INDEX(#REF!,MATCH(AF25,#REF!,0))*AG25,0))</f>
        <v>0</v>
      </c>
      <c r="AI25" s="7"/>
      <c r="AJ25" s="74"/>
      <c r="AK25" s="101">
        <f>IF(OR(AI25="",AJ25=""),0,IFERROR(INDEX(#REF!,MATCH(AI25,#REF!,0))*AJ25,0))</f>
        <v>0</v>
      </c>
      <c r="AL25" s="101">
        <f t="shared" si="6"/>
        <v>0</v>
      </c>
      <c r="AM25" s="7"/>
      <c r="AN25" s="72"/>
      <c r="AO25" s="99">
        <f>IF(OR(AM25="",AN25=""),0,IFERROR(INDEX(#REF!,MATCH(AM25,#REF!,0))*AN25,0))</f>
        <v>0</v>
      </c>
      <c r="AP25" s="7"/>
      <c r="AQ25" s="74"/>
      <c r="AR25" s="99">
        <f>IF(OR(AP25="",AQ25=""),0,IFERROR(INDEX(#REF!,MATCH(AP25,#REF!,0))*AQ25,0))</f>
        <v>0</v>
      </c>
      <c r="AS25" s="7"/>
      <c r="AT25" s="74"/>
      <c r="AU25" s="99">
        <f>IF(OR(AS25="",AT25=""),0,IFERROR(INDEX(#REF!,MATCH(AS25,#REF!,0))*AT25,0))</f>
        <v>0</v>
      </c>
      <c r="AV25" s="7"/>
      <c r="AW25" s="74"/>
      <c r="AX25" s="99">
        <f>IF(OR(AV25="",AW25=""),0,IFERROR(INDEX(#REF!,MATCH(AV25,#REF!,0))*AW25,0))</f>
        <v>0</v>
      </c>
      <c r="AY25" s="7"/>
      <c r="AZ25" s="77"/>
      <c r="BA25" s="99">
        <f>IF(OR(AY25="",AZ25=""),0,IFERROR(INDEX(#REF!,MATCH(AY25,#REF!,0))*AZ25,0))</f>
        <v>0</v>
      </c>
      <c r="BB25" s="100">
        <f t="shared" si="7"/>
        <v>0</v>
      </c>
      <c r="BC25" s="110" t="str">
        <f t="shared" si="8"/>
        <v/>
      </c>
      <c r="BD25" s="62"/>
    </row>
    <row r="26" spans="1:56" ht="19.5" customHeight="1" x14ac:dyDescent="0.45">
      <c r="A26" s="104" t="str">
        <f t="shared" si="9"/>
        <v/>
      </c>
      <c r="B26" s="5"/>
      <c r="C26" s="109"/>
      <c r="D26" s="107"/>
      <c r="E26" s="6"/>
      <c r="F26" s="85"/>
      <c r="G26" s="85"/>
      <c r="H26" s="104" t="str">
        <f t="shared" si="0"/>
        <v/>
      </c>
      <c r="I26" s="103" t="str">
        <f>IFERROR(INDEX(#REF!,MATCH(E26,#REF!,0)),"")</f>
        <v/>
      </c>
      <c r="J26" s="6"/>
      <c r="K26" s="103" t="str">
        <f t="shared" si="2"/>
        <v/>
      </c>
      <c r="L26" s="8"/>
      <c r="M26" s="102" t="str">
        <f t="shared" si="3"/>
        <v/>
      </c>
      <c r="N26" s="9"/>
      <c r="O26" s="103" t="str">
        <f t="shared" si="4"/>
        <v/>
      </c>
      <c r="P26" s="6"/>
      <c r="Q26" s="7"/>
      <c r="R26" s="10"/>
      <c r="S26" s="29" t="str">
        <f t="shared" ca="1" si="5"/>
        <v/>
      </c>
      <c r="T26" s="7"/>
      <c r="U26" s="74"/>
      <c r="V26" s="101">
        <f>IF(OR(T26="",U26=""),0,IFERROR(INDEX(#REF!,MATCH(T26,#REF!,0))*U26,0))</f>
        <v>0</v>
      </c>
      <c r="W26" s="79"/>
      <c r="X26" s="74"/>
      <c r="Y26" s="101">
        <f>IF(OR(W26="",X26=""),0,IFERROR(INDEX(#REF!,MATCH(W26,#REF!,0))*X26,0))</f>
        <v>0</v>
      </c>
      <c r="Z26" s="7"/>
      <c r="AA26" s="74"/>
      <c r="AB26" s="101">
        <f>IF(OR(Z26="",AA26=""),0,IFERROR(INDEX(#REF!,MATCH(Z26,#REF!,0))*AA26,0))</f>
        <v>0</v>
      </c>
      <c r="AC26" s="7"/>
      <c r="AD26" s="74"/>
      <c r="AE26" s="101">
        <f>IF(OR(AC26="",AD26=""),0,IFERROR(INDEX(#REF!,MATCH(AC26,#REF!,0))*AD26,0))</f>
        <v>0</v>
      </c>
      <c r="AF26" s="7"/>
      <c r="AG26" s="74"/>
      <c r="AH26" s="101">
        <f>IF(OR(AF26="",AG26=""),0,IFERROR(INDEX(#REF!,MATCH(AF26,#REF!,0))*AG26,0))</f>
        <v>0</v>
      </c>
      <c r="AI26" s="7"/>
      <c r="AJ26" s="74"/>
      <c r="AK26" s="101">
        <f>IF(OR(AI26="",AJ26=""),0,IFERROR(INDEX(#REF!,MATCH(AI26,#REF!,0))*AJ26,0))</f>
        <v>0</v>
      </c>
      <c r="AL26" s="101">
        <f t="shared" si="6"/>
        <v>0</v>
      </c>
      <c r="AM26" s="7"/>
      <c r="AN26" s="72"/>
      <c r="AO26" s="99">
        <f>IF(OR(AM26="",AN26=""),0,IFERROR(INDEX(#REF!,MATCH(AM26,#REF!,0))*AN26,0))</f>
        <v>0</v>
      </c>
      <c r="AP26" s="7"/>
      <c r="AQ26" s="74"/>
      <c r="AR26" s="99">
        <f>IF(OR(AP26="",AQ26=""),0,IFERROR(INDEX(#REF!,MATCH(AP26,#REF!,0))*AQ26,0))</f>
        <v>0</v>
      </c>
      <c r="AS26" s="7"/>
      <c r="AT26" s="74"/>
      <c r="AU26" s="99">
        <f>IF(OR(AS26="",AT26=""),0,IFERROR(INDEX(#REF!,MATCH(AS26,#REF!,0))*AT26,0))</f>
        <v>0</v>
      </c>
      <c r="AV26" s="7"/>
      <c r="AW26" s="74"/>
      <c r="AX26" s="99">
        <f>IF(OR(AV26="",AW26=""),0,IFERROR(INDEX(#REF!,MATCH(AV26,#REF!,0))*AW26,0))</f>
        <v>0</v>
      </c>
      <c r="AY26" s="7"/>
      <c r="AZ26" s="77"/>
      <c r="BA26" s="99">
        <f>IF(OR(AY26="",AZ26=""),0,IFERROR(INDEX(#REF!,MATCH(AY26,#REF!,0))*AZ26,0))</f>
        <v>0</v>
      </c>
      <c r="BB26" s="100">
        <f t="shared" si="7"/>
        <v>0</v>
      </c>
      <c r="BC26" s="110" t="str">
        <f t="shared" si="8"/>
        <v/>
      </c>
      <c r="BD26" s="62"/>
    </row>
    <row r="27" spans="1:56" ht="19.5" customHeight="1" x14ac:dyDescent="0.45">
      <c r="A27" s="104" t="str">
        <f t="shared" si="9"/>
        <v/>
      </c>
      <c r="B27" s="5"/>
      <c r="C27" s="109"/>
      <c r="D27" s="107"/>
      <c r="E27" s="6"/>
      <c r="F27" s="85"/>
      <c r="G27" s="85"/>
      <c r="H27" s="104" t="str">
        <f t="shared" si="0"/>
        <v/>
      </c>
      <c r="I27" s="103" t="str">
        <f>IFERROR(INDEX(#REF!,MATCH(E27,#REF!,0)),"")</f>
        <v/>
      </c>
      <c r="J27" s="6"/>
      <c r="K27" s="103" t="str">
        <f t="shared" si="2"/>
        <v/>
      </c>
      <c r="L27" s="8"/>
      <c r="M27" s="102" t="str">
        <f t="shared" si="3"/>
        <v/>
      </c>
      <c r="N27" s="9"/>
      <c r="O27" s="103" t="str">
        <f t="shared" si="4"/>
        <v/>
      </c>
      <c r="P27" s="6"/>
      <c r="Q27" s="7"/>
      <c r="R27" s="10"/>
      <c r="S27" s="29" t="str">
        <f t="shared" ca="1" si="5"/>
        <v/>
      </c>
      <c r="T27" s="7"/>
      <c r="U27" s="74"/>
      <c r="V27" s="101">
        <f>IF(OR(T27="",U27=""),0,IFERROR(INDEX(#REF!,MATCH(T27,#REF!,0))*U27,0))</f>
        <v>0</v>
      </c>
      <c r="W27" s="7"/>
      <c r="X27" s="74"/>
      <c r="Y27" s="101">
        <f>IF(OR(W27="",X27=""),0,IFERROR(INDEX(#REF!,MATCH(W27,#REF!,0))*X27,0))</f>
        <v>0</v>
      </c>
      <c r="Z27" s="7"/>
      <c r="AA27" s="74"/>
      <c r="AB27" s="101">
        <f>IF(OR(Z27="",AA27=""),0,IFERROR(INDEX(#REF!,MATCH(Z27,#REF!,0))*AA27,0))</f>
        <v>0</v>
      </c>
      <c r="AC27" s="7"/>
      <c r="AD27" s="74"/>
      <c r="AE27" s="101">
        <f>IF(OR(AC27="",AD27=""),0,IFERROR(INDEX(#REF!,MATCH(AC27,#REF!,0))*AD27,0))</f>
        <v>0</v>
      </c>
      <c r="AF27" s="7"/>
      <c r="AG27" s="74"/>
      <c r="AH27" s="101">
        <f>IF(OR(AF27="",AG27=""),0,IFERROR(INDEX(#REF!,MATCH(AF27,#REF!,0))*AG27,0))</f>
        <v>0</v>
      </c>
      <c r="AI27" s="7"/>
      <c r="AJ27" s="74"/>
      <c r="AK27" s="101">
        <f>IF(OR(AI27="",AJ27=""),0,IFERROR(INDEX(#REF!,MATCH(AI27,#REF!,0))*AJ27,0))</f>
        <v>0</v>
      </c>
      <c r="AL27" s="101">
        <f t="shared" si="6"/>
        <v>0</v>
      </c>
      <c r="AM27" s="7"/>
      <c r="AN27" s="72"/>
      <c r="AO27" s="99">
        <f>IF(OR(AM27="",AN27=""),0,IFERROR(INDEX(#REF!,MATCH(AM27,#REF!,0))*AN27,0))</f>
        <v>0</v>
      </c>
      <c r="AP27" s="7"/>
      <c r="AQ27" s="74"/>
      <c r="AR27" s="99">
        <f>IF(OR(AP27="",AQ27=""),0,IFERROR(INDEX(#REF!,MATCH(AP27,#REF!,0))*AQ27,0))</f>
        <v>0</v>
      </c>
      <c r="AS27" s="7"/>
      <c r="AT27" s="74"/>
      <c r="AU27" s="99">
        <f>IF(OR(AS27="",AT27=""),0,IFERROR(INDEX(#REF!,MATCH(AS27,#REF!,0))*AT27,0))</f>
        <v>0</v>
      </c>
      <c r="AV27" s="7"/>
      <c r="AW27" s="74"/>
      <c r="AX27" s="99">
        <f>IF(OR(AV27="",AW27=""),0,IFERROR(INDEX(#REF!,MATCH(AV27,#REF!,0))*AW27,0))</f>
        <v>0</v>
      </c>
      <c r="AY27" s="7"/>
      <c r="AZ27" s="77"/>
      <c r="BA27" s="99">
        <f>IF(OR(AY27="",AZ27=""),0,IFERROR(INDEX(#REF!,MATCH(AY27,#REF!,0))*AZ27,0))</f>
        <v>0</v>
      </c>
      <c r="BB27" s="100">
        <f t="shared" si="7"/>
        <v>0</v>
      </c>
      <c r="BC27" s="110" t="str">
        <f t="shared" si="8"/>
        <v/>
      </c>
      <c r="BD27" s="62"/>
    </row>
    <row r="28" spans="1:56" ht="19.5" customHeight="1" x14ac:dyDescent="0.45">
      <c r="A28" s="104" t="str">
        <f t="shared" si="9"/>
        <v/>
      </c>
      <c r="B28" s="5"/>
      <c r="C28" s="109"/>
      <c r="D28" s="107"/>
      <c r="E28" s="6"/>
      <c r="F28" s="85"/>
      <c r="G28" s="85"/>
      <c r="H28" s="104" t="str">
        <f t="shared" si="0"/>
        <v/>
      </c>
      <c r="I28" s="103" t="str">
        <f>IFERROR(INDEX(#REF!,MATCH(E28,#REF!,0)),"")</f>
        <v/>
      </c>
      <c r="J28" s="6"/>
      <c r="K28" s="103" t="str">
        <f t="shared" si="2"/>
        <v/>
      </c>
      <c r="L28" s="8"/>
      <c r="M28" s="102" t="str">
        <f t="shared" si="3"/>
        <v/>
      </c>
      <c r="N28" s="9"/>
      <c r="O28" s="103" t="str">
        <f t="shared" si="4"/>
        <v/>
      </c>
      <c r="P28" s="6"/>
      <c r="Q28" s="7"/>
      <c r="R28" s="10"/>
      <c r="S28" s="29" t="str">
        <f t="shared" ca="1" si="5"/>
        <v/>
      </c>
      <c r="T28" s="7"/>
      <c r="U28" s="74"/>
      <c r="V28" s="101">
        <f>IF(OR(T28="",U28=""),0,IFERROR(INDEX(#REF!,MATCH(T28,#REF!,0))*U28,0))</f>
        <v>0</v>
      </c>
      <c r="W28" s="7"/>
      <c r="X28" s="74"/>
      <c r="Y28" s="101">
        <f>IF(OR(W28="",X28=""),0,IFERROR(INDEX(#REF!,MATCH(W28,#REF!,0))*X28,0))</f>
        <v>0</v>
      </c>
      <c r="Z28" s="7"/>
      <c r="AA28" s="74"/>
      <c r="AB28" s="101">
        <f>IF(OR(Z28="",AA28=""),0,IFERROR(INDEX(#REF!,MATCH(Z28,#REF!,0))*AA28,0))</f>
        <v>0</v>
      </c>
      <c r="AC28" s="7"/>
      <c r="AD28" s="74"/>
      <c r="AE28" s="101">
        <f>IF(OR(AC28="",AD28=""),0,IFERROR(INDEX(#REF!,MATCH(AC28,#REF!,0))*AD28,0))</f>
        <v>0</v>
      </c>
      <c r="AF28" s="7"/>
      <c r="AG28" s="74"/>
      <c r="AH28" s="101">
        <f>IF(OR(AF28="",AG28=""),0,IFERROR(INDEX(#REF!,MATCH(AF28,#REF!,0))*AG28,0))</f>
        <v>0</v>
      </c>
      <c r="AI28" s="7"/>
      <c r="AJ28" s="74"/>
      <c r="AK28" s="101">
        <f>IF(OR(AI28="",AJ28=""),0,IFERROR(INDEX(#REF!,MATCH(AI28,#REF!,0))*AJ28,0))</f>
        <v>0</v>
      </c>
      <c r="AL28" s="101">
        <f t="shared" si="6"/>
        <v>0</v>
      </c>
      <c r="AM28" s="7"/>
      <c r="AN28" s="72"/>
      <c r="AO28" s="99">
        <f>IF(OR(AM28="",AN28=""),0,IFERROR(INDEX(#REF!,MATCH(AM28,#REF!,0))*AN28,0))</f>
        <v>0</v>
      </c>
      <c r="AP28" s="7"/>
      <c r="AQ28" s="74"/>
      <c r="AR28" s="99">
        <f>IF(OR(AP28="",AQ28=""),0,IFERROR(INDEX(#REF!,MATCH(AP28,#REF!,0))*AQ28,0))</f>
        <v>0</v>
      </c>
      <c r="AS28" s="7"/>
      <c r="AT28" s="74"/>
      <c r="AU28" s="99">
        <f>IF(OR(AS28="",AT28=""),0,IFERROR(INDEX(#REF!,MATCH(AS28,#REF!,0))*AT28,0))</f>
        <v>0</v>
      </c>
      <c r="AV28" s="7"/>
      <c r="AW28" s="74"/>
      <c r="AX28" s="99">
        <f>IF(OR(AV28="",AW28=""),0,IFERROR(INDEX(#REF!,MATCH(AV28,#REF!,0))*AW28,0))</f>
        <v>0</v>
      </c>
      <c r="AY28" s="7"/>
      <c r="AZ28" s="77"/>
      <c r="BA28" s="99">
        <f>IF(OR(AY28="",AZ28=""),0,IFERROR(INDEX(#REF!,MATCH(AY28,#REF!,0))*AZ28,0))</f>
        <v>0</v>
      </c>
      <c r="BB28" s="100">
        <f t="shared" si="7"/>
        <v>0</v>
      </c>
      <c r="BC28" s="110" t="str">
        <f t="shared" si="8"/>
        <v/>
      </c>
      <c r="BD28" s="62"/>
    </row>
    <row r="29" spans="1:56" ht="19.5" customHeight="1" x14ac:dyDescent="0.45">
      <c r="A29" s="104" t="str">
        <f t="shared" si="9"/>
        <v/>
      </c>
      <c r="B29" s="5"/>
      <c r="C29" s="109"/>
      <c r="D29" s="107"/>
      <c r="E29" s="6"/>
      <c r="F29" s="85"/>
      <c r="G29" s="85"/>
      <c r="H29" s="104" t="str">
        <f t="shared" si="0"/>
        <v/>
      </c>
      <c r="I29" s="103" t="str">
        <f>IFERROR(INDEX(#REF!,MATCH(E29,#REF!,0)),"")</f>
        <v/>
      </c>
      <c r="J29" s="6"/>
      <c r="K29" s="103" t="str">
        <f t="shared" si="2"/>
        <v/>
      </c>
      <c r="L29" s="8"/>
      <c r="M29" s="102" t="str">
        <f t="shared" si="3"/>
        <v/>
      </c>
      <c r="N29" s="9"/>
      <c r="O29" s="103" t="str">
        <f t="shared" si="4"/>
        <v/>
      </c>
      <c r="P29" s="6"/>
      <c r="Q29" s="7"/>
      <c r="R29" s="10"/>
      <c r="S29" s="29" t="str">
        <f t="shared" ca="1" si="5"/>
        <v/>
      </c>
      <c r="T29" s="7"/>
      <c r="U29" s="74"/>
      <c r="V29" s="101">
        <f>IF(OR(T29="",U29=""),0,IFERROR(INDEX(#REF!,MATCH(T29,#REF!,0))*U29,0))</f>
        <v>0</v>
      </c>
      <c r="W29" s="7"/>
      <c r="X29" s="74"/>
      <c r="Y29" s="101">
        <f>IF(OR(W29="",X29=""),0,IFERROR(INDEX(#REF!,MATCH(W29,#REF!,0))*X29,0))</f>
        <v>0</v>
      </c>
      <c r="Z29" s="7"/>
      <c r="AA29" s="74"/>
      <c r="AB29" s="101">
        <f>IF(OR(Z29="",AA29=""),0,IFERROR(INDEX(#REF!,MATCH(Z29,#REF!,0))*AA29,0))</f>
        <v>0</v>
      </c>
      <c r="AC29" s="7"/>
      <c r="AD29" s="74"/>
      <c r="AE29" s="101">
        <f>IF(OR(AC29="",AD29=""),0,IFERROR(INDEX(#REF!,MATCH(AC29,#REF!,0))*AD29,0))</f>
        <v>0</v>
      </c>
      <c r="AF29" s="7"/>
      <c r="AG29" s="74"/>
      <c r="AH29" s="101">
        <f>IF(OR(AF29="",AG29=""),0,IFERROR(INDEX(#REF!,MATCH(AF29,#REF!,0))*AG29,0))</f>
        <v>0</v>
      </c>
      <c r="AI29" s="7"/>
      <c r="AJ29" s="74"/>
      <c r="AK29" s="101">
        <f>IF(OR(AI29="",AJ29=""),0,IFERROR(INDEX(#REF!,MATCH(AI29,#REF!,0))*AJ29,0))</f>
        <v>0</v>
      </c>
      <c r="AL29" s="101">
        <f t="shared" si="6"/>
        <v>0</v>
      </c>
      <c r="AM29" s="7"/>
      <c r="AN29" s="72"/>
      <c r="AO29" s="99">
        <f>IF(OR(AM29="",AN29=""),0,IFERROR(INDEX(#REF!,MATCH(AM29,#REF!,0))*AN29,0))</f>
        <v>0</v>
      </c>
      <c r="AP29" s="7"/>
      <c r="AQ29" s="74"/>
      <c r="AR29" s="99">
        <f>IF(OR(AP29="",AQ29=""),0,IFERROR(INDEX(#REF!,MATCH(AP29,#REF!,0))*AQ29,0))</f>
        <v>0</v>
      </c>
      <c r="AS29" s="7"/>
      <c r="AT29" s="74"/>
      <c r="AU29" s="99">
        <f>IF(OR(AS29="",AT29=""),0,IFERROR(INDEX(#REF!,MATCH(AS29,#REF!,0))*AT29,0))</f>
        <v>0</v>
      </c>
      <c r="AV29" s="7"/>
      <c r="AW29" s="74"/>
      <c r="AX29" s="99">
        <f>IF(OR(AV29="",AW29=""),0,IFERROR(INDEX(#REF!,MATCH(AV29,#REF!,0))*AW29,0))</f>
        <v>0</v>
      </c>
      <c r="AY29" s="7"/>
      <c r="AZ29" s="77"/>
      <c r="BA29" s="99">
        <f>IF(OR(AY29="",AZ29=""),0,IFERROR(INDEX(#REF!,MATCH(AY29,#REF!,0))*AZ29,0))</f>
        <v>0</v>
      </c>
      <c r="BB29" s="100">
        <f t="shared" si="7"/>
        <v>0</v>
      </c>
      <c r="BC29" s="110" t="str">
        <f t="shared" si="8"/>
        <v/>
      </c>
      <c r="BD29" s="62"/>
    </row>
    <row r="30" spans="1:56" ht="19.5" customHeight="1" x14ac:dyDescent="0.45">
      <c r="A30" s="104" t="str">
        <f t="shared" si="9"/>
        <v/>
      </c>
      <c r="B30" s="5"/>
      <c r="C30" s="109"/>
      <c r="D30" s="107"/>
      <c r="E30" s="6"/>
      <c r="F30" s="85"/>
      <c r="G30" s="85"/>
      <c r="H30" s="104" t="str">
        <f t="shared" si="0"/>
        <v/>
      </c>
      <c r="I30" s="103" t="str">
        <f>IFERROR(INDEX(#REF!,MATCH(E30,#REF!,0)),"")</f>
        <v/>
      </c>
      <c r="J30" s="6"/>
      <c r="K30" s="103" t="str">
        <f t="shared" si="2"/>
        <v/>
      </c>
      <c r="L30" s="8"/>
      <c r="M30" s="102" t="str">
        <f t="shared" si="3"/>
        <v/>
      </c>
      <c r="N30" s="9"/>
      <c r="O30" s="103" t="str">
        <f t="shared" si="4"/>
        <v/>
      </c>
      <c r="P30" s="6"/>
      <c r="Q30" s="7"/>
      <c r="R30" s="10"/>
      <c r="S30" s="29" t="str">
        <f t="shared" ca="1" si="5"/>
        <v/>
      </c>
      <c r="T30" s="7"/>
      <c r="U30" s="74"/>
      <c r="V30" s="101">
        <f>IF(OR(T30="",U30=""),0,IFERROR(INDEX(#REF!,MATCH(T30,#REF!,0))*U30,0))</f>
        <v>0</v>
      </c>
      <c r="W30" s="7"/>
      <c r="X30" s="74"/>
      <c r="Y30" s="101">
        <f>IF(OR(W30="",X30=""),0,IFERROR(INDEX(#REF!,MATCH(W30,#REF!,0))*X30,0))</f>
        <v>0</v>
      </c>
      <c r="Z30" s="7"/>
      <c r="AA30" s="74"/>
      <c r="AB30" s="101">
        <f>IF(OR(Z30="",AA30=""),0,IFERROR(INDEX(#REF!,MATCH(Z30,#REF!,0))*AA30,0))</f>
        <v>0</v>
      </c>
      <c r="AC30" s="7"/>
      <c r="AD30" s="74"/>
      <c r="AE30" s="101">
        <f>IF(OR(AC30="",AD30=""),0,IFERROR(INDEX(#REF!,MATCH(AC30,#REF!,0))*AD30,0))</f>
        <v>0</v>
      </c>
      <c r="AF30" s="7"/>
      <c r="AG30" s="74"/>
      <c r="AH30" s="101">
        <f>IF(OR(AF30="",AG30=""),0,IFERROR(INDEX(#REF!,MATCH(AF30,#REF!,0))*AG30,0))</f>
        <v>0</v>
      </c>
      <c r="AI30" s="7"/>
      <c r="AJ30" s="74"/>
      <c r="AK30" s="101">
        <f>IF(OR(AI30="",AJ30=""),0,IFERROR(INDEX(#REF!,MATCH(AI30,#REF!,0))*AJ30,0))</f>
        <v>0</v>
      </c>
      <c r="AL30" s="101">
        <f t="shared" si="6"/>
        <v>0</v>
      </c>
      <c r="AM30" s="7"/>
      <c r="AN30" s="72"/>
      <c r="AO30" s="99">
        <f>IF(OR(AM30="",AN30=""),0,IFERROR(INDEX(#REF!,MATCH(AM30,#REF!,0))*AN30,0))</f>
        <v>0</v>
      </c>
      <c r="AP30" s="7"/>
      <c r="AQ30" s="74"/>
      <c r="AR30" s="99">
        <f>IF(OR(AP30="",AQ30=""),0,IFERROR(INDEX(#REF!,MATCH(AP30,#REF!,0))*AQ30,0))</f>
        <v>0</v>
      </c>
      <c r="AS30" s="7"/>
      <c r="AT30" s="74"/>
      <c r="AU30" s="99">
        <f>IF(OR(AS30="",AT30=""),0,IFERROR(INDEX(#REF!,MATCH(AS30,#REF!,0))*AT30,0))</f>
        <v>0</v>
      </c>
      <c r="AV30" s="7"/>
      <c r="AW30" s="74"/>
      <c r="AX30" s="99">
        <f>IF(OR(AV30="",AW30=""),0,IFERROR(INDEX(#REF!,MATCH(AV30,#REF!,0))*AW30,0))</f>
        <v>0</v>
      </c>
      <c r="AY30" s="7"/>
      <c r="AZ30" s="77"/>
      <c r="BA30" s="99">
        <f>IF(OR(AY30="",AZ30=""),0,IFERROR(INDEX(#REF!,MATCH(AY30,#REF!,0))*AZ30,0))</f>
        <v>0</v>
      </c>
      <c r="BB30" s="100">
        <f t="shared" si="7"/>
        <v>0</v>
      </c>
      <c r="BC30" s="110" t="str">
        <f t="shared" si="8"/>
        <v/>
      </c>
      <c r="BD30" s="62"/>
    </row>
    <row r="31" spans="1:56" ht="19.5" customHeight="1" x14ac:dyDescent="0.45">
      <c r="A31" s="104" t="str">
        <f t="shared" si="9"/>
        <v/>
      </c>
      <c r="B31" s="5"/>
      <c r="C31" s="109"/>
      <c r="D31" s="107"/>
      <c r="E31" s="6"/>
      <c r="F31" s="85"/>
      <c r="G31" s="85"/>
      <c r="H31" s="104" t="str">
        <f t="shared" si="0"/>
        <v/>
      </c>
      <c r="I31" s="103" t="str">
        <f>IFERROR(INDEX(#REF!,MATCH(E31,#REF!,0)),"")</f>
        <v/>
      </c>
      <c r="J31" s="6"/>
      <c r="K31" s="103" t="str">
        <f t="shared" si="2"/>
        <v/>
      </c>
      <c r="L31" s="8"/>
      <c r="M31" s="102" t="str">
        <f t="shared" si="3"/>
        <v/>
      </c>
      <c r="N31" s="9"/>
      <c r="O31" s="103" t="str">
        <f t="shared" si="4"/>
        <v/>
      </c>
      <c r="P31" s="6"/>
      <c r="Q31" s="7"/>
      <c r="R31" s="10"/>
      <c r="S31" s="29" t="str">
        <f t="shared" ca="1" si="5"/>
        <v/>
      </c>
      <c r="T31" s="7"/>
      <c r="U31" s="74"/>
      <c r="V31" s="101">
        <f>IF(OR(T31="",U31=""),0,IFERROR(INDEX(#REF!,MATCH(T31,#REF!,0))*U31,0))</f>
        <v>0</v>
      </c>
      <c r="W31" s="7"/>
      <c r="X31" s="74"/>
      <c r="Y31" s="101">
        <f>IF(OR(W31="",X31=""),0,IFERROR(INDEX(#REF!,MATCH(W31,#REF!,0))*X31,0))</f>
        <v>0</v>
      </c>
      <c r="Z31" s="7"/>
      <c r="AA31" s="74"/>
      <c r="AB31" s="101">
        <f>IF(OR(Z31="",AA31=""),0,IFERROR(INDEX(#REF!,MATCH(Z31,#REF!,0))*AA31,0))</f>
        <v>0</v>
      </c>
      <c r="AC31" s="7"/>
      <c r="AD31" s="74"/>
      <c r="AE31" s="101">
        <f>IF(OR(AC31="",AD31=""),0,IFERROR(INDEX(#REF!,MATCH(AC31,#REF!,0))*AD31,0))</f>
        <v>0</v>
      </c>
      <c r="AF31" s="7"/>
      <c r="AG31" s="74"/>
      <c r="AH31" s="101">
        <f>IF(OR(AF31="",AG31=""),0,IFERROR(INDEX(#REF!,MATCH(AF31,#REF!,0))*AG31,0))</f>
        <v>0</v>
      </c>
      <c r="AI31" s="7"/>
      <c r="AJ31" s="74"/>
      <c r="AK31" s="101">
        <f>IF(OR(AI31="",AJ31=""),0,IFERROR(INDEX(#REF!,MATCH(AI31,#REF!,0))*AJ31,0))</f>
        <v>0</v>
      </c>
      <c r="AL31" s="101">
        <f t="shared" si="6"/>
        <v>0</v>
      </c>
      <c r="AM31" s="7"/>
      <c r="AN31" s="72"/>
      <c r="AO31" s="99">
        <f>IF(OR(AM31="",AN31=""),0,IFERROR(INDEX(#REF!,MATCH(AM31,#REF!,0))*AN31,0))</f>
        <v>0</v>
      </c>
      <c r="AP31" s="7"/>
      <c r="AQ31" s="74"/>
      <c r="AR31" s="99">
        <f>IF(OR(AP31="",AQ31=""),0,IFERROR(INDEX(#REF!,MATCH(AP31,#REF!,0))*AQ31,0))</f>
        <v>0</v>
      </c>
      <c r="AS31" s="7"/>
      <c r="AT31" s="74"/>
      <c r="AU31" s="99">
        <f>IF(OR(AS31="",AT31=""),0,IFERROR(INDEX(#REF!,MATCH(AS31,#REF!,0))*AT31,0))</f>
        <v>0</v>
      </c>
      <c r="AV31" s="7"/>
      <c r="AW31" s="74"/>
      <c r="AX31" s="99">
        <f>IF(OR(AV31="",AW31=""),0,IFERROR(INDEX(#REF!,MATCH(AV31,#REF!,0))*AW31,0))</f>
        <v>0</v>
      </c>
      <c r="AY31" s="7"/>
      <c r="AZ31" s="77"/>
      <c r="BA31" s="99">
        <f>IF(OR(AY31="",AZ31=""),0,IFERROR(INDEX(#REF!,MATCH(AY31,#REF!,0))*AZ31,0))</f>
        <v>0</v>
      </c>
      <c r="BB31" s="100">
        <f t="shared" si="7"/>
        <v>0</v>
      </c>
      <c r="BC31" s="110" t="str">
        <f t="shared" si="8"/>
        <v/>
      </c>
      <c r="BD31" s="62"/>
    </row>
    <row r="32" spans="1:56" ht="19.5" customHeight="1" x14ac:dyDescent="0.45">
      <c r="A32" s="104" t="str">
        <f t="shared" si="9"/>
        <v/>
      </c>
      <c r="B32" s="5"/>
      <c r="C32" s="109"/>
      <c r="D32" s="107"/>
      <c r="E32" s="6"/>
      <c r="F32" s="85"/>
      <c r="G32" s="85"/>
      <c r="H32" s="104" t="str">
        <f t="shared" si="0"/>
        <v/>
      </c>
      <c r="I32" s="103" t="str">
        <f>IFERROR(INDEX(#REF!,MATCH(E32,#REF!,0)),"")</f>
        <v/>
      </c>
      <c r="J32" s="6"/>
      <c r="K32" s="103" t="str">
        <f t="shared" si="2"/>
        <v/>
      </c>
      <c r="L32" s="8"/>
      <c r="M32" s="102" t="str">
        <f t="shared" si="3"/>
        <v/>
      </c>
      <c r="N32" s="9"/>
      <c r="O32" s="103" t="str">
        <f t="shared" si="4"/>
        <v/>
      </c>
      <c r="P32" s="6"/>
      <c r="Q32" s="7"/>
      <c r="R32" s="10"/>
      <c r="S32" s="29" t="str">
        <f t="shared" ca="1" si="5"/>
        <v/>
      </c>
      <c r="T32" s="7"/>
      <c r="U32" s="74"/>
      <c r="V32" s="101">
        <f>IF(OR(T32="",U32=""),0,IFERROR(INDEX(#REF!,MATCH(T32,#REF!,0))*U32,0))</f>
        <v>0</v>
      </c>
      <c r="W32" s="7"/>
      <c r="X32" s="74"/>
      <c r="Y32" s="101">
        <f>IF(OR(W32="",X32=""),0,IFERROR(INDEX(#REF!,MATCH(W32,#REF!,0))*X32,0))</f>
        <v>0</v>
      </c>
      <c r="Z32" s="7"/>
      <c r="AA32" s="74"/>
      <c r="AB32" s="101">
        <f>IF(OR(Z32="",AA32=""),0,IFERROR(INDEX(#REF!,MATCH(Z32,#REF!,0))*AA32,0))</f>
        <v>0</v>
      </c>
      <c r="AC32" s="7"/>
      <c r="AD32" s="74"/>
      <c r="AE32" s="101">
        <f>IF(OR(AC32="",AD32=""),0,IFERROR(INDEX(#REF!,MATCH(AC32,#REF!,0))*AD32,0))</f>
        <v>0</v>
      </c>
      <c r="AF32" s="7"/>
      <c r="AG32" s="74"/>
      <c r="AH32" s="101">
        <f>IF(OR(AF32="",AG32=""),0,IFERROR(INDEX(#REF!,MATCH(AF32,#REF!,0))*AG32,0))</f>
        <v>0</v>
      </c>
      <c r="AI32" s="7"/>
      <c r="AJ32" s="74"/>
      <c r="AK32" s="101">
        <f>IF(OR(AI32="",AJ32=""),0,IFERROR(INDEX(#REF!,MATCH(AI32,#REF!,0))*AJ32,0))</f>
        <v>0</v>
      </c>
      <c r="AL32" s="101">
        <f t="shared" si="6"/>
        <v>0</v>
      </c>
      <c r="AM32" s="7"/>
      <c r="AN32" s="72"/>
      <c r="AO32" s="99">
        <f>IF(OR(AM32="",AN32=""),0,IFERROR(INDEX(#REF!,MATCH(AM32,#REF!,0))*AN32,0))</f>
        <v>0</v>
      </c>
      <c r="AP32" s="7"/>
      <c r="AQ32" s="74"/>
      <c r="AR32" s="99">
        <f>IF(OR(AP32="",AQ32=""),0,IFERROR(INDEX(#REF!,MATCH(AP32,#REF!,0))*AQ32,0))</f>
        <v>0</v>
      </c>
      <c r="AS32" s="7"/>
      <c r="AT32" s="74"/>
      <c r="AU32" s="99">
        <f>IF(OR(AS32="",AT32=""),0,IFERROR(INDEX(#REF!,MATCH(AS32,#REF!,0))*AT32,0))</f>
        <v>0</v>
      </c>
      <c r="AV32" s="7"/>
      <c r="AW32" s="74"/>
      <c r="AX32" s="99">
        <f>IF(OR(AV32="",AW32=""),0,IFERROR(INDEX(#REF!,MATCH(AV32,#REF!,0))*AW32,0))</f>
        <v>0</v>
      </c>
      <c r="AY32" s="7"/>
      <c r="AZ32" s="77"/>
      <c r="BA32" s="99">
        <f>IF(OR(AY32="",AZ32=""),0,IFERROR(INDEX(#REF!,MATCH(AY32,#REF!,0))*AZ32,0))</f>
        <v>0</v>
      </c>
      <c r="BB32" s="100">
        <f t="shared" si="7"/>
        <v>0</v>
      </c>
      <c r="BC32" s="110" t="str">
        <f t="shared" si="8"/>
        <v/>
      </c>
      <c r="BD32" s="62"/>
    </row>
    <row r="33" spans="1:56" ht="19.5" customHeight="1" x14ac:dyDescent="0.45">
      <c r="A33" s="104" t="str">
        <f t="shared" si="9"/>
        <v/>
      </c>
      <c r="B33" s="5"/>
      <c r="C33" s="109"/>
      <c r="D33" s="107"/>
      <c r="E33" s="6"/>
      <c r="F33" s="85"/>
      <c r="G33" s="85"/>
      <c r="H33" s="104" t="str">
        <f t="shared" si="0"/>
        <v/>
      </c>
      <c r="I33" s="103" t="str">
        <f>IFERROR(INDEX(#REF!,MATCH(E33,#REF!,0)),"")</f>
        <v/>
      </c>
      <c r="J33" s="6"/>
      <c r="K33" s="103" t="str">
        <f t="shared" si="2"/>
        <v/>
      </c>
      <c r="L33" s="8"/>
      <c r="M33" s="102" t="str">
        <f t="shared" si="3"/>
        <v/>
      </c>
      <c r="N33" s="9"/>
      <c r="O33" s="103" t="str">
        <f t="shared" si="4"/>
        <v/>
      </c>
      <c r="P33" s="6"/>
      <c r="Q33" s="7"/>
      <c r="R33" s="10"/>
      <c r="S33" s="29" t="str">
        <f t="shared" ca="1" si="5"/>
        <v/>
      </c>
      <c r="T33" s="7"/>
      <c r="U33" s="74"/>
      <c r="V33" s="101">
        <f>IF(OR(T33="",U33=""),0,IFERROR(INDEX(#REF!,MATCH(T33,#REF!,0))*U33,0))</f>
        <v>0</v>
      </c>
      <c r="W33" s="7"/>
      <c r="X33" s="74"/>
      <c r="Y33" s="101">
        <f>IF(OR(W33="",X33=""),0,IFERROR(INDEX(#REF!,MATCH(W33,#REF!,0))*X33,0))</f>
        <v>0</v>
      </c>
      <c r="Z33" s="7"/>
      <c r="AA33" s="74"/>
      <c r="AB33" s="101">
        <f>IF(OR(Z33="",AA33=""),0,IFERROR(INDEX(#REF!,MATCH(Z33,#REF!,0))*AA33,0))</f>
        <v>0</v>
      </c>
      <c r="AC33" s="7"/>
      <c r="AD33" s="74"/>
      <c r="AE33" s="101">
        <f>IF(OR(AC33="",AD33=""),0,IFERROR(INDEX(#REF!,MATCH(AC33,#REF!,0))*AD33,0))</f>
        <v>0</v>
      </c>
      <c r="AF33" s="7"/>
      <c r="AG33" s="74"/>
      <c r="AH33" s="101">
        <f>IF(OR(AF33="",AG33=""),0,IFERROR(INDEX(#REF!,MATCH(AF33,#REF!,0))*AG33,0))</f>
        <v>0</v>
      </c>
      <c r="AI33" s="7"/>
      <c r="AJ33" s="74"/>
      <c r="AK33" s="101">
        <f>IF(OR(AI33="",AJ33=""),0,IFERROR(INDEX(#REF!,MATCH(AI33,#REF!,0))*AJ33,0))</f>
        <v>0</v>
      </c>
      <c r="AL33" s="101">
        <f t="shared" si="6"/>
        <v>0</v>
      </c>
      <c r="AM33" s="7"/>
      <c r="AN33" s="72"/>
      <c r="AO33" s="99">
        <f>IF(OR(AM33="",AN33=""),0,IFERROR(INDEX(#REF!,MATCH(AM33,#REF!,0))*AN33,0))</f>
        <v>0</v>
      </c>
      <c r="AP33" s="7"/>
      <c r="AQ33" s="74"/>
      <c r="AR33" s="99">
        <f>IF(OR(AP33="",AQ33=""),0,IFERROR(INDEX(#REF!,MATCH(AP33,#REF!,0))*AQ33,0))</f>
        <v>0</v>
      </c>
      <c r="AS33" s="7"/>
      <c r="AT33" s="74"/>
      <c r="AU33" s="99">
        <f>IF(OR(AS33="",AT33=""),0,IFERROR(INDEX(#REF!,MATCH(AS33,#REF!,0))*AT33,0))</f>
        <v>0</v>
      </c>
      <c r="AV33" s="7"/>
      <c r="AW33" s="74"/>
      <c r="AX33" s="99">
        <f>IF(OR(AV33="",AW33=""),0,IFERROR(INDEX(#REF!,MATCH(AV33,#REF!,0))*AW33,0))</f>
        <v>0</v>
      </c>
      <c r="AY33" s="7"/>
      <c r="AZ33" s="77"/>
      <c r="BA33" s="99">
        <f>IF(OR(AY33="",AZ33=""),0,IFERROR(INDEX(#REF!,MATCH(AY33,#REF!,0))*AZ33,0))</f>
        <v>0</v>
      </c>
      <c r="BB33" s="100">
        <f t="shared" si="7"/>
        <v>0</v>
      </c>
      <c r="BC33" s="110" t="str">
        <f t="shared" si="8"/>
        <v/>
      </c>
      <c r="BD33" s="62"/>
    </row>
    <row r="34" spans="1:56" ht="19.5" customHeight="1" x14ac:dyDescent="0.45">
      <c r="A34" s="104" t="str">
        <f t="shared" si="9"/>
        <v/>
      </c>
      <c r="B34" s="5"/>
      <c r="C34" s="109"/>
      <c r="D34" s="107"/>
      <c r="E34" s="6"/>
      <c r="F34" s="85"/>
      <c r="G34" s="85"/>
      <c r="H34" s="104" t="str">
        <f t="shared" si="0"/>
        <v/>
      </c>
      <c r="I34" s="103" t="str">
        <f>IFERROR(INDEX(#REF!,MATCH(E34,#REF!,0)),"")</f>
        <v/>
      </c>
      <c r="J34" s="6"/>
      <c r="K34" s="103" t="str">
        <f t="shared" si="2"/>
        <v/>
      </c>
      <c r="L34" s="8"/>
      <c r="M34" s="102" t="str">
        <f t="shared" si="3"/>
        <v/>
      </c>
      <c r="N34" s="9"/>
      <c r="O34" s="103" t="str">
        <f t="shared" si="4"/>
        <v/>
      </c>
      <c r="P34" s="6"/>
      <c r="Q34" s="7"/>
      <c r="R34" s="10"/>
      <c r="S34" s="29" t="str">
        <f t="shared" ca="1" si="5"/>
        <v/>
      </c>
      <c r="T34" s="7"/>
      <c r="U34" s="74"/>
      <c r="V34" s="101">
        <f>IF(OR(T34="",U34=""),0,IFERROR(INDEX(#REF!,MATCH(T34,#REF!,0))*U34,0))</f>
        <v>0</v>
      </c>
      <c r="W34" s="7"/>
      <c r="X34" s="74"/>
      <c r="Y34" s="101">
        <f>IF(OR(W34="",X34=""),0,IFERROR(INDEX(#REF!,MATCH(W34,#REF!,0))*X34,0))</f>
        <v>0</v>
      </c>
      <c r="Z34" s="7"/>
      <c r="AA34" s="74"/>
      <c r="AB34" s="101">
        <f>IF(OR(Z34="",AA34=""),0,IFERROR(INDEX(#REF!,MATCH(Z34,#REF!,0))*AA34,0))</f>
        <v>0</v>
      </c>
      <c r="AC34" s="7"/>
      <c r="AD34" s="74"/>
      <c r="AE34" s="101">
        <f>IF(OR(AC34="",AD34=""),0,IFERROR(INDEX(#REF!,MATCH(AC34,#REF!,0))*AD34,0))</f>
        <v>0</v>
      </c>
      <c r="AF34" s="7"/>
      <c r="AG34" s="74"/>
      <c r="AH34" s="101">
        <f>IF(OR(AF34="",AG34=""),0,IFERROR(INDEX(#REF!,MATCH(AF34,#REF!,0))*AG34,0))</f>
        <v>0</v>
      </c>
      <c r="AI34" s="7"/>
      <c r="AJ34" s="74"/>
      <c r="AK34" s="101">
        <f>IF(OR(AI34="",AJ34=""),0,IFERROR(INDEX(#REF!,MATCH(AI34,#REF!,0))*AJ34,0))</f>
        <v>0</v>
      </c>
      <c r="AL34" s="101">
        <f t="shared" si="6"/>
        <v>0</v>
      </c>
      <c r="AM34" s="7"/>
      <c r="AN34" s="72"/>
      <c r="AO34" s="99">
        <f>IF(OR(AM34="",AN34=""),0,IFERROR(INDEX(#REF!,MATCH(AM34,#REF!,0))*AN34,0))</f>
        <v>0</v>
      </c>
      <c r="AP34" s="7"/>
      <c r="AQ34" s="74"/>
      <c r="AR34" s="99">
        <f>IF(OR(AP34="",AQ34=""),0,IFERROR(INDEX(#REF!,MATCH(AP34,#REF!,0))*AQ34,0))</f>
        <v>0</v>
      </c>
      <c r="AS34" s="7"/>
      <c r="AT34" s="74"/>
      <c r="AU34" s="99">
        <f>IF(OR(AS34="",AT34=""),0,IFERROR(INDEX(#REF!,MATCH(AS34,#REF!,0))*AT34,0))</f>
        <v>0</v>
      </c>
      <c r="AV34" s="7"/>
      <c r="AW34" s="74"/>
      <c r="AX34" s="99">
        <f>IF(OR(AV34="",AW34=""),0,IFERROR(INDEX(#REF!,MATCH(AV34,#REF!,0))*AW34,0))</f>
        <v>0</v>
      </c>
      <c r="AY34" s="7"/>
      <c r="AZ34" s="77"/>
      <c r="BA34" s="99">
        <f>IF(OR(AY34="",AZ34=""),0,IFERROR(INDEX(#REF!,MATCH(AY34,#REF!,0))*AZ34,0))</f>
        <v>0</v>
      </c>
      <c r="BB34" s="100">
        <f t="shared" si="7"/>
        <v>0</v>
      </c>
      <c r="BC34" s="110" t="str">
        <f t="shared" si="8"/>
        <v/>
      </c>
      <c r="BD34" s="62"/>
    </row>
    <row r="35" spans="1:56" ht="19.5" customHeight="1" x14ac:dyDescent="0.45">
      <c r="A35" s="104" t="str">
        <f t="shared" si="9"/>
        <v/>
      </c>
      <c r="B35" s="5"/>
      <c r="C35" s="109"/>
      <c r="D35" s="107"/>
      <c r="E35" s="6"/>
      <c r="F35" s="85"/>
      <c r="G35" s="85"/>
      <c r="H35" s="104" t="str">
        <f t="shared" si="0"/>
        <v/>
      </c>
      <c r="I35" s="103" t="str">
        <f>IFERROR(INDEX(#REF!,MATCH(E35,#REF!,0)),"")</f>
        <v/>
      </c>
      <c r="J35" s="6"/>
      <c r="K35" s="103" t="str">
        <f t="shared" si="2"/>
        <v/>
      </c>
      <c r="L35" s="8"/>
      <c r="M35" s="102" t="str">
        <f t="shared" si="3"/>
        <v/>
      </c>
      <c r="N35" s="9"/>
      <c r="O35" s="103" t="str">
        <f t="shared" si="4"/>
        <v/>
      </c>
      <c r="P35" s="6"/>
      <c r="Q35" s="7"/>
      <c r="R35" s="10"/>
      <c r="S35" s="29" t="str">
        <f t="shared" ca="1" si="5"/>
        <v/>
      </c>
      <c r="T35" s="7"/>
      <c r="U35" s="74"/>
      <c r="V35" s="101">
        <f>IF(OR(T35="",U35=""),0,IFERROR(INDEX(#REF!,MATCH(T35,#REF!,0))*U35,0))</f>
        <v>0</v>
      </c>
      <c r="W35" s="7"/>
      <c r="X35" s="74"/>
      <c r="Y35" s="101">
        <f>IF(OR(W35="",X35=""),0,IFERROR(INDEX(#REF!,MATCH(W35,#REF!,0))*X35,0))</f>
        <v>0</v>
      </c>
      <c r="Z35" s="7"/>
      <c r="AA35" s="74"/>
      <c r="AB35" s="101">
        <f>IF(OR(Z35="",AA35=""),0,IFERROR(INDEX(#REF!,MATCH(Z35,#REF!,0))*AA35,0))</f>
        <v>0</v>
      </c>
      <c r="AC35" s="7"/>
      <c r="AD35" s="74"/>
      <c r="AE35" s="101">
        <f>IF(OR(AC35="",AD35=""),0,IFERROR(INDEX(#REF!,MATCH(AC35,#REF!,0))*AD35,0))</f>
        <v>0</v>
      </c>
      <c r="AF35" s="7"/>
      <c r="AG35" s="74"/>
      <c r="AH35" s="101">
        <f>IF(OR(AF35="",AG35=""),0,IFERROR(INDEX(#REF!,MATCH(AF35,#REF!,0))*AG35,0))</f>
        <v>0</v>
      </c>
      <c r="AI35" s="7"/>
      <c r="AJ35" s="74"/>
      <c r="AK35" s="101">
        <f>IF(OR(AI35="",AJ35=""),0,IFERROR(INDEX(#REF!,MATCH(AI35,#REF!,0))*AJ35,0))</f>
        <v>0</v>
      </c>
      <c r="AL35" s="101">
        <f t="shared" si="6"/>
        <v>0</v>
      </c>
      <c r="AM35" s="7"/>
      <c r="AN35" s="72"/>
      <c r="AO35" s="99">
        <f>IF(OR(AM35="",AN35=""),0,IFERROR(INDEX(#REF!,MATCH(AM35,#REF!,0))*AN35,0))</f>
        <v>0</v>
      </c>
      <c r="AP35" s="7"/>
      <c r="AQ35" s="74"/>
      <c r="AR35" s="99">
        <f>IF(OR(AP35="",AQ35=""),0,IFERROR(INDEX(#REF!,MATCH(AP35,#REF!,0))*AQ35,0))</f>
        <v>0</v>
      </c>
      <c r="AS35" s="7"/>
      <c r="AT35" s="74"/>
      <c r="AU35" s="99">
        <f>IF(OR(AS35="",AT35=""),0,IFERROR(INDEX(#REF!,MATCH(AS35,#REF!,0))*AT35,0))</f>
        <v>0</v>
      </c>
      <c r="AV35" s="7"/>
      <c r="AW35" s="74"/>
      <c r="AX35" s="99">
        <f>IF(OR(AV35="",AW35=""),0,IFERROR(INDEX(#REF!,MATCH(AV35,#REF!,0))*AW35,0))</f>
        <v>0</v>
      </c>
      <c r="AY35" s="7"/>
      <c r="AZ35" s="77"/>
      <c r="BA35" s="99">
        <f>IF(OR(AY35="",AZ35=""),0,IFERROR(INDEX(#REF!,MATCH(AY35,#REF!,0))*AZ35,0))</f>
        <v>0</v>
      </c>
      <c r="BB35" s="100">
        <f t="shared" si="7"/>
        <v>0</v>
      </c>
      <c r="BC35" s="110" t="str">
        <f t="shared" si="8"/>
        <v/>
      </c>
      <c r="BD35" s="62"/>
    </row>
    <row r="36" spans="1:56" ht="19.5" customHeight="1" x14ac:dyDescent="0.45">
      <c r="A36" s="104" t="str">
        <f t="shared" si="9"/>
        <v/>
      </c>
      <c r="B36" s="5"/>
      <c r="C36" s="109"/>
      <c r="D36" s="107"/>
      <c r="E36" s="6"/>
      <c r="F36" s="85"/>
      <c r="G36" s="85"/>
      <c r="H36" s="104" t="str">
        <f t="shared" si="0"/>
        <v/>
      </c>
      <c r="I36" s="103" t="str">
        <f>IFERROR(INDEX(#REF!,MATCH(E36,#REF!,0)),"")</f>
        <v/>
      </c>
      <c r="J36" s="6"/>
      <c r="K36" s="103" t="str">
        <f t="shared" si="2"/>
        <v/>
      </c>
      <c r="L36" s="8"/>
      <c r="M36" s="102" t="str">
        <f t="shared" si="3"/>
        <v/>
      </c>
      <c r="N36" s="9"/>
      <c r="O36" s="103" t="str">
        <f t="shared" si="4"/>
        <v/>
      </c>
      <c r="P36" s="6"/>
      <c r="Q36" s="7"/>
      <c r="R36" s="10"/>
      <c r="S36" s="29" t="str">
        <f t="shared" ca="1" si="5"/>
        <v/>
      </c>
      <c r="T36" s="7"/>
      <c r="U36" s="74"/>
      <c r="V36" s="101">
        <f>IF(OR(T36="",U36=""),0,IFERROR(INDEX(#REF!,MATCH(T36,#REF!,0))*U36,0))</f>
        <v>0</v>
      </c>
      <c r="W36" s="7"/>
      <c r="X36" s="74"/>
      <c r="Y36" s="101">
        <f>IF(OR(W36="",X36=""),0,IFERROR(INDEX(#REF!,MATCH(W36,#REF!,0))*X36,0))</f>
        <v>0</v>
      </c>
      <c r="Z36" s="7"/>
      <c r="AA36" s="74"/>
      <c r="AB36" s="101">
        <f>IF(OR(Z36="",AA36=""),0,IFERROR(INDEX(#REF!,MATCH(Z36,#REF!,0))*AA36,0))</f>
        <v>0</v>
      </c>
      <c r="AC36" s="7"/>
      <c r="AD36" s="74"/>
      <c r="AE36" s="101">
        <f>IF(OR(AC36="",AD36=""),0,IFERROR(INDEX(#REF!,MATCH(AC36,#REF!,0))*AD36,0))</f>
        <v>0</v>
      </c>
      <c r="AF36" s="7"/>
      <c r="AG36" s="74"/>
      <c r="AH36" s="101">
        <f>IF(OR(AF36="",AG36=""),0,IFERROR(INDEX(#REF!,MATCH(AF36,#REF!,0))*AG36,0))</f>
        <v>0</v>
      </c>
      <c r="AI36" s="7"/>
      <c r="AJ36" s="74"/>
      <c r="AK36" s="101">
        <f>IF(OR(AI36="",AJ36=""),0,IFERROR(INDEX(#REF!,MATCH(AI36,#REF!,0))*AJ36,0))</f>
        <v>0</v>
      </c>
      <c r="AL36" s="101">
        <f t="shared" si="6"/>
        <v>0</v>
      </c>
      <c r="AM36" s="7"/>
      <c r="AN36" s="72"/>
      <c r="AO36" s="99">
        <f>IF(OR(AM36="",AN36=""),0,IFERROR(INDEX(#REF!,MATCH(AM36,#REF!,0))*AN36,0))</f>
        <v>0</v>
      </c>
      <c r="AP36" s="7"/>
      <c r="AQ36" s="74"/>
      <c r="AR36" s="99">
        <f>IF(OR(AP36="",AQ36=""),0,IFERROR(INDEX(#REF!,MATCH(AP36,#REF!,0))*AQ36,0))</f>
        <v>0</v>
      </c>
      <c r="AS36" s="7"/>
      <c r="AT36" s="74"/>
      <c r="AU36" s="99">
        <f>IF(OR(AS36="",AT36=""),0,IFERROR(INDEX(#REF!,MATCH(AS36,#REF!,0))*AT36,0))</f>
        <v>0</v>
      </c>
      <c r="AV36" s="7"/>
      <c r="AW36" s="74"/>
      <c r="AX36" s="99">
        <f>IF(OR(AV36="",AW36=""),0,IFERROR(INDEX(#REF!,MATCH(AV36,#REF!,0))*AW36,0))</f>
        <v>0</v>
      </c>
      <c r="AY36" s="7"/>
      <c r="AZ36" s="77"/>
      <c r="BA36" s="99">
        <f>IF(OR(AY36="",AZ36=""),0,IFERROR(INDEX(#REF!,MATCH(AY36,#REF!,0))*AZ36,0))</f>
        <v>0</v>
      </c>
      <c r="BB36" s="100">
        <f t="shared" si="7"/>
        <v>0</v>
      </c>
      <c r="BC36" s="110" t="str">
        <f t="shared" si="8"/>
        <v/>
      </c>
      <c r="BD36" s="62"/>
    </row>
    <row r="37" spans="1:56" ht="19.5" customHeight="1" x14ac:dyDescent="0.45">
      <c r="A37" s="104" t="str">
        <f t="shared" si="9"/>
        <v/>
      </c>
      <c r="B37" s="5"/>
      <c r="C37" s="109"/>
      <c r="D37" s="107"/>
      <c r="E37" s="6"/>
      <c r="F37" s="85"/>
      <c r="G37" s="85"/>
      <c r="H37" s="104" t="str">
        <f t="shared" si="0"/>
        <v/>
      </c>
      <c r="I37" s="103" t="str">
        <f>IFERROR(INDEX(#REF!,MATCH(E37,#REF!,0)),"")</f>
        <v/>
      </c>
      <c r="J37" s="6"/>
      <c r="K37" s="103" t="str">
        <f t="shared" si="2"/>
        <v/>
      </c>
      <c r="L37" s="8"/>
      <c r="M37" s="102" t="str">
        <f t="shared" si="3"/>
        <v/>
      </c>
      <c r="N37" s="9"/>
      <c r="O37" s="103" t="str">
        <f t="shared" si="4"/>
        <v/>
      </c>
      <c r="P37" s="6"/>
      <c r="Q37" s="7"/>
      <c r="R37" s="10"/>
      <c r="S37" s="29" t="str">
        <f t="shared" ca="1" si="5"/>
        <v/>
      </c>
      <c r="T37" s="7"/>
      <c r="U37" s="74"/>
      <c r="V37" s="101">
        <f>IF(OR(T37="",U37=""),0,IFERROR(INDEX(#REF!,MATCH(T37,#REF!,0))*U37,0))</f>
        <v>0</v>
      </c>
      <c r="W37" s="7"/>
      <c r="X37" s="74"/>
      <c r="Y37" s="101">
        <f>IF(OR(W37="",X37=""),0,IFERROR(INDEX(#REF!,MATCH(W37,#REF!,0))*X37,0))</f>
        <v>0</v>
      </c>
      <c r="Z37" s="7"/>
      <c r="AA37" s="74"/>
      <c r="AB37" s="101">
        <f>IF(OR(Z37="",AA37=""),0,IFERROR(INDEX(#REF!,MATCH(Z37,#REF!,0))*AA37,0))</f>
        <v>0</v>
      </c>
      <c r="AC37" s="7"/>
      <c r="AD37" s="74"/>
      <c r="AE37" s="101">
        <f>IF(OR(AC37="",AD37=""),0,IFERROR(INDEX(#REF!,MATCH(AC37,#REF!,0))*AD37,0))</f>
        <v>0</v>
      </c>
      <c r="AF37" s="7"/>
      <c r="AG37" s="74"/>
      <c r="AH37" s="101">
        <f>IF(OR(AF37="",AG37=""),0,IFERROR(INDEX(#REF!,MATCH(AF37,#REF!,0))*AG37,0))</f>
        <v>0</v>
      </c>
      <c r="AI37" s="7"/>
      <c r="AJ37" s="74"/>
      <c r="AK37" s="101">
        <f>IF(OR(AI37="",AJ37=""),0,IFERROR(INDEX(#REF!,MATCH(AI37,#REF!,0))*AJ37,0))</f>
        <v>0</v>
      </c>
      <c r="AL37" s="101">
        <f t="shared" si="6"/>
        <v>0</v>
      </c>
      <c r="AM37" s="7"/>
      <c r="AN37" s="72"/>
      <c r="AO37" s="99">
        <f>IF(OR(AM37="",AN37=""),0,IFERROR(INDEX(#REF!,MATCH(AM37,#REF!,0))*AN37,0))</f>
        <v>0</v>
      </c>
      <c r="AP37" s="7"/>
      <c r="AQ37" s="74"/>
      <c r="AR37" s="99">
        <f>IF(OR(AP37="",AQ37=""),0,IFERROR(INDEX(#REF!,MATCH(AP37,#REF!,0))*AQ37,0))</f>
        <v>0</v>
      </c>
      <c r="AS37" s="7"/>
      <c r="AT37" s="74"/>
      <c r="AU37" s="99">
        <f>IF(OR(AS37="",AT37=""),0,IFERROR(INDEX(#REF!,MATCH(AS37,#REF!,0))*AT37,0))</f>
        <v>0</v>
      </c>
      <c r="AV37" s="7"/>
      <c r="AW37" s="74"/>
      <c r="AX37" s="99">
        <f>IF(OR(AV37="",AW37=""),0,IFERROR(INDEX(#REF!,MATCH(AV37,#REF!,0))*AW37,0))</f>
        <v>0</v>
      </c>
      <c r="AY37" s="7"/>
      <c r="AZ37" s="77"/>
      <c r="BA37" s="99">
        <f>IF(OR(AY37="",AZ37=""),0,IFERROR(INDEX(#REF!,MATCH(AY37,#REF!,0))*AZ37,0))</f>
        <v>0</v>
      </c>
      <c r="BB37" s="100">
        <f t="shared" si="7"/>
        <v>0</v>
      </c>
      <c r="BC37" s="110" t="str">
        <f t="shared" si="8"/>
        <v/>
      </c>
      <c r="BD37" s="62"/>
    </row>
    <row r="38" spans="1:56" ht="19.5" customHeight="1" x14ac:dyDescent="0.45">
      <c r="A38" s="104" t="str">
        <f t="shared" si="9"/>
        <v/>
      </c>
      <c r="B38" s="5"/>
      <c r="C38" s="109"/>
      <c r="D38" s="107"/>
      <c r="E38" s="6"/>
      <c r="F38" s="85"/>
      <c r="G38" s="85"/>
      <c r="H38" s="104" t="str">
        <f t="shared" si="0"/>
        <v/>
      </c>
      <c r="I38" s="103" t="str">
        <f>IFERROR(INDEX(#REF!,MATCH(E38,#REF!,0)),"")</f>
        <v/>
      </c>
      <c r="J38" s="6"/>
      <c r="K38" s="103" t="str">
        <f t="shared" si="2"/>
        <v/>
      </c>
      <c r="L38" s="8"/>
      <c r="M38" s="102" t="str">
        <f t="shared" si="3"/>
        <v/>
      </c>
      <c r="N38" s="9"/>
      <c r="O38" s="103" t="str">
        <f t="shared" si="4"/>
        <v/>
      </c>
      <c r="P38" s="6"/>
      <c r="Q38" s="7"/>
      <c r="R38" s="10"/>
      <c r="S38" s="29" t="str">
        <f t="shared" ca="1" si="5"/>
        <v/>
      </c>
      <c r="T38" s="7"/>
      <c r="U38" s="74"/>
      <c r="V38" s="101">
        <f>IF(OR(T38="",U38=""),0,IFERROR(INDEX(#REF!,MATCH(T38,#REF!,0))*U38,0))</f>
        <v>0</v>
      </c>
      <c r="W38" s="7"/>
      <c r="X38" s="74"/>
      <c r="Y38" s="101">
        <f>IF(OR(W38="",X38=""),0,IFERROR(INDEX(#REF!,MATCH(W38,#REF!,0))*X38,0))</f>
        <v>0</v>
      </c>
      <c r="Z38" s="7"/>
      <c r="AA38" s="74"/>
      <c r="AB38" s="101">
        <f>IF(OR(Z38="",AA38=""),0,IFERROR(INDEX(#REF!,MATCH(Z38,#REF!,0))*AA38,0))</f>
        <v>0</v>
      </c>
      <c r="AC38" s="7"/>
      <c r="AD38" s="74"/>
      <c r="AE38" s="101">
        <f>IF(OR(AC38="",AD38=""),0,IFERROR(INDEX(#REF!,MATCH(AC38,#REF!,0))*AD38,0))</f>
        <v>0</v>
      </c>
      <c r="AF38" s="7"/>
      <c r="AG38" s="74"/>
      <c r="AH38" s="101">
        <f>IF(OR(AF38="",AG38=""),0,IFERROR(INDEX(#REF!,MATCH(AF38,#REF!,0))*AG38,0))</f>
        <v>0</v>
      </c>
      <c r="AI38" s="7"/>
      <c r="AJ38" s="74"/>
      <c r="AK38" s="101">
        <f>IF(OR(AI38="",AJ38=""),0,IFERROR(INDEX(#REF!,MATCH(AI38,#REF!,0))*AJ38,0))</f>
        <v>0</v>
      </c>
      <c r="AL38" s="101">
        <f t="shared" si="6"/>
        <v>0</v>
      </c>
      <c r="AM38" s="7"/>
      <c r="AN38" s="72"/>
      <c r="AO38" s="99">
        <f>IF(OR(AM38="",AN38=""),0,IFERROR(INDEX(#REF!,MATCH(AM38,#REF!,0))*AN38,0))</f>
        <v>0</v>
      </c>
      <c r="AP38" s="7"/>
      <c r="AQ38" s="74"/>
      <c r="AR38" s="99">
        <f>IF(OR(AP38="",AQ38=""),0,IFERROR(INDEX(#REF!,MATCH(AP38,#REF!,0))*AQ38,0))</f>
        <v>0</v>
      </c>
      <c r="AS38" s="7"/>
      <c r="AT38" s="74"/>
      <c r="AU38" s="99">
        <f>IF(OR(AS38="",AT38=""),0,IFERROR(INDEX(#REF!,MATCH(AS38,#REF!,0))*AT38,0))</f>
        <v>0</v>
      </c>
      <c r="AV38" s="7"/>
      <c r="AW38" s="74"/>
      <c r="AX38" s="99">
        <f>IF(OR(AV38="",AW38=""),0,IFERROR(INDEX(#REF!,MATCH(AV38,#REF!,0))*AW38,0))</f>
        <v>0</v>
      </c>
      <c r="AY38" s="7"/>
      <c r="AZ38" s="77"/>
      <c r="BA38" s="99">
        <f>IF(OR(AY38="",AZ38=""),0,IFERROR(INDEX(#REF!,MATCH(AY38,#REF!,0))*AZ38,0))</f>
        <v>0</v>
      </c>
      <c r="BB38" s="100">
        <f t="shared" si="7"/>
        <v>0</v>
      </c>
      <c r="BC38" s="110" t="str">
        <f t="shared" si="8"/>
        <v/>
      </c>
      <c r="BD38" s="62"/>
    </row>
    <row r="39" spans="1:56" ht="19.5" customHeight="1" x14ac:dyDescent="0.45">
      <c r="A39" s="104" t="str">
        <f t="shared" si="9"/>
        <v/>
      </c>
      <c r="B39" s="5"/>
      <c r="C39" s="109"/>
      <c r="D39" s="107"/>
      <c r="E39" s="6"/>
      <c r="F39" s="85"/>
      <c r="G39" s="85"/>
      <c r="H39" s="104" t="str">
        <f t="shared" si="0"/>
        <v/>
      </c>
      <c r="I39" s="103" t="str">
        <f>IFERROR(INDEX(#REF!,MATCH(E39,#REF!,0)),"")</f>
        <v/>
      </c>
      <c r="J39" s="6"/>
      <c r="K39" s="103" t="str">
        <f t="shared" si="2"/>
        <v/>
      </c>
      <c r="L39" s="8"/>
      <c r="M39" s="102" t="str">
        <f t="shared" si="3"/>
        <v/>
      </c>
      <c r="N39" s="9"/>
      <c r="O39" s="103" t="str">
        <f t="shared" si="4"/>
        <v/>
      </c>
      <c r="P39" s="6"/>
      <c r="Q39" s="7"/>
      <c r="R39" s="10"/>
      <c r="S39" s="29" t="str">
        <f t="shared" ca="1" si="5"/>
        <v/>
      </c>
      <c r="T39" s="7"/>
      <c r="U39" s="74"/>
      <c r="V39" s="101">
        <f>IF(OR(T39="",U39=""),0,IFERROR(INDEX(#REF!,MATCH(T39,#REF!,0))*U39,0))</f>
        <v>0</v>
      </c>
      <c r="W39" s="7"/>
      <c r="X39" s="74"/>
      <c r="Y39" s="101">
        <f>IF(OR(W39="",X39=""),0,IFERROR(INDEX(#REF!,MATCH(W39,#REF!,0))*X39,0))</f>
        <v>0</v>
      </c>
      <c r="Z39" s="7"/>
      <c r="AA39" s="74"/>
      <c r="AB39" s="101">
        <f>IF(OR(Z39="",AA39=""),0,IFERROR(INDEX(#REF!,MATCH(Z39,#REF!,0))*AA39,0))</f>
        <v>0</v>
      </c>
      <c r="AC39" s="7"/>
      <c r="AD39" s="74"/>
      <c r="AE39" s="101">
        <f>IF(OR(AC39="",AD39=""),0,IFERROR(INDEX(#REF!,MATCH(AC39,#REF!,0))*AD39,0))</f>
        <v>0</v>
      </c>
      <c r="AF39" s="7"/>
      <c r="AG39" s="74"/>
      <c r="AH39" s="101">
        <f>IF(OR(AF39="",AG39=""),0,IFERROR(INDEX(#REF!,MATCH(AF39,#REF!,0))*AG39,0))</f>
        <v>0</v>
      </c>
      <c r="AI39" s="7"/>
      <c r="AJ39" s="74"/>
      <c r="AK39" s="101">
        <f>IF(OR(AI39="",AJ39=""),0,IFERROR(INDEX(#REF!,MATCH(AI39,#REF!,0))*AJ39,0))</f>
        <v>0</v>
      </c>
      <c r="AL39" s="101">
        <f t="shared" si="6"/>
        <v>0</v>
      </c>
      <c r="AM39" s="7"/>
      <c r="AN39" s="72"/>
      <c r="AO39" s="99">
        <f>IF(OR(AM39="",AN39=""),0,IFERROR(INDEX(#REF!,MATCH(AM39,#REF!,0))*AN39,0))</f>
        <v>0</v>
      </c>
      <c r="AP39" s="7"/>
      <c r="AQ39" s="74"/>
      <c r="AR39" s="99">
        <f>IF(OR(AP39="",AQ39=""),0,IFERROR(INDEX(#REF!,MATCH(AP39,#REF!,0))*AQ39,0))</f>
        <v>0</v>
      </c>
      <c r="AS39" s="7"/>
      <c r="AT39" s="74"/>
      <c r="AU39" s="99">
        <f>IF(OR(AS39="",AT39=""),0,IFERROR(INDEX(#REF!,MATCH(AS39,#REF!,0))*AT39,0))</f>
        <v>0</v>
      </c>
      <c r="AV39" s="7"/>
      <c r="AW39" s="74"/>
      <c r="AX39" s="99">
        <f>IF(OR(AV39="",AW39=""),0,IFERROR(INDEX(#REF!,MATCH(AV39,#REF!,0))*AW39,0))</f>
        <v>0</v>
      </c>
      <c r="AY39" s="7"/>
      <c r="AZ39" s="77"/>
      <c r="BA39" s="99">
        <f>IF(OR(AY39="",AZ39=""),0,IFERROR(INDEX(#REF!,MATCH(AY39,#REF!,0))*AZ39,0))</f>
        <v>0</v>
      </c>
      <c r="BB39" s="100">
        <f t="shared" si="7"/>
        <v>0</v>
      </c>
      <c r="BC39" s="110" t="str">
        <f t="shared" si="8"/>
        <v/>
      </c>
      <c r="BD39" s="62"/>
    </row>
    <row r="40" spans="1:56" ht="19.5" customHeight="1" x14ac:dyDescent="0.45">
      <c r="A40" s="104" t="str">
        <f t="shared" si="9"/>
        <v/>
      </c>
      <c r="B40" s="5"/>
      <c r="C40" s="109"/>
      <c r="D40" s="107"/>
      <c r="E40" s="6"/>
      <c r="F40" s="85"/>
      <c r="G40" s="85"/>
      <c r="H40" s="104" t="str">
        <f t="shared" si="0"/>
        <v/>
      </c>
      <c r="I40" s="103" t="str">
        <f>IFERROR(INDEX(#REF!,MATCH(E40,#REF!,0)),"")</f>
        <v/>
      </c>
      <c r="J40" s="6"/>
      <c r="K40" s="103" t="str">
        <f t="shared" si="2"/>
        <v/>
      </c>
      <c r="L40" s="8"/>
      <c r="M40" s="102" t="str">
        <f t="shared" si="3"/>
        <v/>
      </c>
      <c r="N40" s="9"/>
      <c r="O40" s="103" t="str">
        <f t="shared" si="4"/>
        <v/>
      </c>
      <c r="P40" s="6"/>
      <c r="Q40" s="7"/>
      <c r="R40" s="10"/>
      <c r="S40" s="29" t="str">
        <f t="shared" ca="1" si="5"/>
        <v/>
      </c>
      <c r="T40" s="7"/>
      <c r="U40" s="74"/>
      <c r="V40" s="101">
        <f>IF(OR(T40="",U40=""),0,IFERROR(INDEX(#REF!,MATCH(T40,#REF!,0))*U40,0))</f>
        <v>0</v>
      </c>
      <c r="W40" s="7"/>
      <c r="X40" s="74"/>
      <c r="Y40" s="101">
        <f>IF(OR(W40="",X40=""),0,IFERROR(INDEX(#REF!,MATCH(W40,#REF!,0))*X40,0))</f>
        <v>0</v>
      </c>
      <c r="Z40" s="7"/>
      <c r="AA40" s="74"/>
      <c r="AB40" s="101">
        <f>IF(OR(Z40="",AA40=""),0,IFERROR(INDEX(#REF!,MATCH(Z40,#REF!,0))*AA40,0))</f>
        <v>0</v>
      </c>
      <c r="AC40" s="7"/>
      <c r="AD40" s="74"/>
      <c r="AE40" s="101">
        <f>IF(OR(AC40="",AD40=""),0,IFERROR(INDEX(#REF!,MATCH(AC40,#REF!,0))*AD40,0))</f>
        <v>0</v>
      </c>
      <c r="AF40" s="7"/>
      <c r="AG40" s="74"/>
      <c r="AH40" s="101">
        <f>IF(OR(AF40="",AG40=""),0,IFERROR(INDEX(#REF!,MATCH(AF40,#REF!,0))*AG40,0))</f>
        <v>0</v>
      </c>
      <c r="AI40" s="7"/>
      <c r="AJ40" s="74"/>
      <c r="AK40" s="101">
        <f>IF(OR(AI40="",AJ40=""),0,IFERROR(INDEX(#REF!,MATCH(AI40,#REF!,0))*AJ40,0))</f>
        <v>0</v>
      </c>
      <c r="AL40" s="101">
        <f t="shared" si="6"/>
        <v>0</v>
      </c>
      <c r="AM40" s="7"/>
      <c r="AN40" s="72"/>
      <c r="AO40" s="99">
        <f>IF(OR(AM40="",AN40=""),0,IFERROR(INDEX(#REF!,MATCH(AM40,#REF!,0))*AN40,0))</f>
        <v>0</v>
      </c>
      <c r="AP40" s="7"/>
      <c r="AQ40" s="74"/>
      <c r="AR40" s="99">
        <f>IF(OR(AP40="",AQ40=""),0,IFERROR(INDEX(#REF!,MATCH(AP40,#REF!,0))*AQ40,0))</f>
        <v>0</v>
      </c>
      <c r="AS40" s="7"/>
      <c r="AT40" s="74"/>
      <c r="AU40" s="99">
        <f>IF(OR(AS40="",AT40=""),0,IFERROR(INDEX(#REF!,MATCH(AS40,#REF!,0))*AT40,0))</f>
        <v>0</v>
      </c>
      <c r="AV40" s="7"/>
      <c r="AW40" s="74"/>
      <c r="AX40" s="99">
        <f>IF(OR(AV40="",AW40=""),0,IFERROR(INDEX(#REF!,MATCH(AV40,#REF!,0))*AW40,0))</f>
        <v>0</v>
      </c>
      <c r="AY40" s="7"/>
      <c r="AZ40" s="77"/>
      <c r="BA40" s="99">
        <f>IF(OR(AY40="",AZ40=""),0,IFERROR(INDEX(#REF!,MATCH(AY40,#REF!,0))*AZ40,0))</f>
        <v>0</v>
      </c>
      <c r="BB40" s="100">
        <f t="shared" si="7"/>
        <v>0</v>
      </c>
      <c r="BC40" s="110" t="str">
        <f t="shared" si="8"/>
        <v/>
      </c>
      <c r="BD40" s="62"/>
    </row>
    <row r="41" spans="1:56" ht="19.5" customHeight="1" x14ac:dyDescent="0.45">
      <c r="A41" s="104" t="str">
        <f t="shared" si="9"/>
        <v/>
      </c>
      <c r="B41" s="5"/>
      <c r="C41" s="109"/>
      <c r="D41" s="107"/>
      <c r="E41" s="6"/>
      <c r="F41" s="85"/>
      <c r="G41" s="85"/>
      <c r="H41" s="104" t="str">
        <f t="shared" si="0"/>
        <v/>
      </c>
      <c r="I41" s="103" t="str">
        <f>IFERROR(INDEX(#REF!,MATCH(E41,#REF!,0)),"")</f>
        <v/>
      </c>
      <c r="J41" s="6"/>
      <c r="K41" s="103" t="str">
        <f t="shared" si="2"/>
        <v/>
      </c>
      <c r="L41" s="8"/>
      <c r="M41" s="102" t="str">
        <f t="shared" si="3"/>
        <v/>
      </c>
      <c r="N41" s="9"/>
      <c r="O41" s="103" t="str">
        <f t="shared" si="4"/>
        <v/>
      </c>
      <c r="P41" s="6"/>
      <c r="Q41" s="7"/>
      <c r="R41" s="10"/>
      <c r="S41" s="29" t="str">
        <f t="shared" ca="1" si="5"/>
        <v/>
      </c>
      <c r="T41" s="7"/>
      <c r="U41" s="74"/>
      <c r="V41" s="101">
        <f>IF(OR(T41="",U41=""),0,IFERROR(INDEX(#REF!,MATCH(T41,#REF!,0))*U41,0))</f>
        <v>0</v>
      </c>
      <c r="W41" s="7"/>
      <c r="X41" s="74"/>
      <c r="Y41" s="101">
        <f>IF(OR(W41="",X41=""),0,IFERROR(INDEX(#REF!,MATCH(W41,#REF!,0))*X41,0))</f>
        <v>0</v>
      </c>
      <c r="Z41" s="7"/>
      <c r="AA41" s="74"/>
      <c r="AB41" s="101">
        <f>IF(OR(Z41="",AA41=""),0,IFERROR(INDEX(#REF!,MATCH(Z41,#REF!,0))*AA41,0))</f>
        <v>0</v>
      </c>
      <c r="AC41" s="7"/>
      <c r="AD41" s="74"/>
      <c r="AE41" s="101">
        <f>IF(OR(AC41="",AD41=""),0,IFERROR(INDEX(#REF!,MATCH(AC41,#REF!,0))*AD41,0))</f>
        <v>0</v>
      </c>
      <c r="AF41" s="7"/>
      <c r="AG41" s="74"/>
      <c r="AH41" s="101">
        <f>IF(OR(AF41="",AG41=""),0,IFERROR(INDEX(#REF!,MATCH(AF41,#REF!,0))*AG41,0))</f>
        <v>0</v>
      </c>
      <c r="AI41" s="7"/>
      <c r="AJ41" s="74"/>
      <c r="AK41" s="101">
        <f>IF(OR(AI41="",AJ41=""),0,IFERROR(INDEX(#REF!,MATCH(AI41,#REF!,0))*AJ41,0))</f>
        <v>0</v>
      </c>
      <c r="AL41" s="101">
        <f t="shared" si="6"/>
        <v>0</v>
      </c>
      <c r="AM41" s="7"/>
      <c r="AN41" s="72"/>
      <c r="AO41" s="99">
        <f>IF(OR(AM41="",AN41=""),0,IFERROR(INDEX(#REF!,MATCH(AM41,#REF!,0))*AN41,0))</f>
        <v>0</v>
      </c>
      <c r="AP41" s="7"/>
      <c r="AQ41" s="74"/>
      <c r="AR41" s="99">
        <f>IF(OR(AP41="",AQ41=""),0,IFERROR(INDEX(#REF!,MATCH(AP41,#REF!,0))*AQ41,0))</f>
        <v>0</v>
      </c>
      <c r="AS41" s="7"/>
      <c r="AT41" s="74"/>
      <c r="AU41" s="99">
        <f>IF(OR(AS41="",AT41=""),0,IFERROR(INDEX(#REF!,MATCH(AS41,#REF!,0))*AT41,0))</f>
        <v>0</v>
      </c>
      <c r="AV41" s="7"/>
      <c r="AW41" s="74"/>
      <c r="AX41" s="99">
        <f>IF(OR(AV41="",AW41=""),0,IFERROR(INDEX(#REF!,MATCH(AV41,#REF!,0))*AW41,0))</f>
        <v>0</v>
      </c>
      <c r="AY41" s="7"/>
      <c r="AZ41" s="77"/>
      <c r="BA41" s="99">
        <f>IF(OR(AY41="",AZ41=""),0,IFERROR(INDEX(#REF!,MATCH(AY41,#REF!,0))*AZ41,0))</f>
        <v>0</v>
      </c>
      <c r="BB41" s="100">
        <f t="shared" si="7"/>
        <v>0</v>
      </c>
      <c r="BC41" s="110" t="str">
        <f t="shared" si="8"/>
        <v/>
      </c>
      <c r="BD41" s="62"/>
    </row>
    <row r="42" spans="1:56" ht="19.5" customHeight="1" x14ac:dyDescent="0.45">
      <c r="A42" s="104" t="str">
        <f t="shared" si="9"/>
        <v/>
      </c>
      <c r="B42" s="5"/>
      <c r="C42" s="109"/>
      <c r="D42" s="107"/>
      <c r="E42" s="6"/>
      <c r="F42" s="85"/>
      <c r="G42" s="85"/>
      <c r="H42" s="104" t="str">
        <f t="shared" si="0"/>
        <v/>
      </c>
      <c r="I42" s="103" t="str">
        <f>IFERROR(INDEX(#REF!,MATCH(E42,#REF!,0)),"")</f>
        <v/>
      </c>
      <c r="J42" s="6"/>
      <c r="K42" s="103" t="str">
        <f t="shared" si="2"/>
        <v/>
      </c>
      <c r="L42" s="8"/>
      <c r="M42" s="102" t="str">
        <f t="shared" si="3"/>
        <v/>
      </c>
      <c r="N42" s="9"/>
      <c r="O42" s="103" t="str">
        <f t="shared" si="4"/>
        <v/>
      </c>
      <c r="P42" s="6"/>
      <c r="Q42" s="7"/>
      <c r="R42" s="10"/>
      <c r="S42" s="29" t="str">
        <f t="shared" ca="1" si="5"/>
        <v/>
      </c>
      <c r="T42" s="7"/>
      <c r="U42" s="74"/>
      <c r="V42" s="101">
        <f>IF(OR(T42="",U42=""),0,IFERROR(INDEX(#REF!,MATCH(T42,#REF!,0))*U42,0))</f>
        <v>0</v>
      </c>
      <c r="W42" s="7"/>
      <c r="X42" s="74"/>
      <c r="Y42" s="101">
        <f>IF(OR(W42="",X42=""),0,IFERROR(INDEX(#REF!,MATCH(W42,#REF!,0))*X42,0))</f>
        <v>0</v>
      </c>
      <c r="Z42" s="7"/>
      <c r="AA42" s="74"/>
      <c r="AB42" s="101">
        <f>IF(OR(Z42="",AA42=""),0,IFERROR(INDEX(#REF!,MATCH(Z42,#REF!,0))*AA42,0))</f>
        <v>0</v>
      </c>
      <c r="AC42" s="7"/>
      <c r="AD42" s="74"/>
      <c r="AE42" s="101">
        <f>IF(OR(AC42="",AD42=""),0,IFERROR(INDEX(#REF!,MATCH(AC42,#REF!,0))*AD42,0))</f>
        <v>0</v>
      </c>
      <c r="AF42" s="7"/>
      <c r="AG42" s="74"/>
      <c r="AH42" s="101">
        <f>IF(OR(AF42="",AG42=""),0,IFERROR(INDEX(#REF!,MATCH(AF42,#REF!,0))*AG42,0))</f>
        <v>0</v>
      </c>
      <c r="AI42" s="7"/>
      <c r="AJ42" s="74"/>
      <c r="AK42" s="101">
        <f>IF(OR(AI42="",AJ42=""),0,IFERROR(INDEX(#REF!,MATCH(AI42,#REF!,0))*AJ42,0))</f>
        <v>0</v>
      </c>
      <c r="AL42" s="101">
        <f t="shared" si="6"/>
        <v>0</v>
      </c>
      <c r="AM42" s="7"/>
      <c r="AN42" s="72"/>
      <c r="AO42" s="99">
        <f>IF(OR(AM42="",AN42=""),0,IFERROR(INDEX(#REF!,MATCH(AM42,#REF!,0))*AN42,0))</f>
        <v>0</v>
      </c>
      <c r="AP42" s="7"/>
      <c r="AQ42" s="74"/>
      <c r="AR42" s="99">
        <f>IF(OR(AP42="",AQ42=""),0,IFERROR(INDEX(#REF!,MATCH(AP42,#REF!,0))*AQ42,0))</f>
        <v>0</v>
      </c>
      <c r="AS42" s="7"/>
      <c r="AT42" s="74"/>
      <c r="AU42" s="99">
        <f>IF(OR(AS42="",AT42=""),0,IFERROR(INDEX(#REF!,MATCH(AS42,#REF!,0))*AT42,0))</f>
        <v>0</v>
      </c>
      <c r="AV42" s="7"/>
      <c r="AW42" s="74"/>
      <c r="AX42" s="99">
        <f>IF(OR(AV42="",AW42=""),0,IFERROR(INDEX(#REF!,MATCH(AV42,#REF!,0))*AW42,0))</f>
        <v>0</v>
      </c>
      <c r="AY42" s="7"/>
      <c r="AZ42" s="77"/>
      <c r="BA42" s="99">
        <f>IF(OR(AY42="",AZ42=""),0,IFERROR(INDEX(#REF!,MATCH(AY42,#REF!,0))*AZ42,0))</f>
        <v>0</v>
      </c>
      <c r="BB42" s="100">
        <f t="shared" si="7"/>
        <v>0</v>
      </c>
      <c r="BC42" s="110" t="str">
        <f t="shared" si="8"/>
        <v/>
      </c>
      <c r="BD42" s="62"/>
    </row>
    <row r="43" spans="1:56" ht="19.5" customHeight="1" x14ac:dyDescent="0.45">
      <c r="A43" s="104" t="str">
        <f t="shared" si="9"/>
        <v/>
      </c>
      <c r="B43" s="5"/>
      <c r="C43" s="109"/>
      <c r="D43" s="107"/>
      <c r="E43" s="6"/>
      <c r="F43" s="85"/>
      <c r="G43" s="85"/>
      <c r="H43" s="104" t="str">
        <f t="shared" si="0"/>
        <v/>
      </c>
      <c r="I43" s="103" t="str">
        <f>IFERROR(INDEX(#REF!,MATCH(E43,#REF!,0)),"")</f>
        <v/>
      </c>
      <c r="J43" s="6"/>
      <c r="K43" s="103" t="str">
        <f t="shared" si="2"/>
        <v/>
      </c>
      <c r="L43" s="8"/>
      <c r="M43" s="102" t="str">
        <f t="shared" si="3"/>
        <v/>
      </c>
      <c r="N43" s="9"/>
      <c r="O43" s="103" t="str">
        <f t="shared" si="4"/>
        <v/>
      </c>
      <c r="P43" s="6"/>
      <c r="Q43" s="7"/>
      <c r="R43" s="10"/>
      <c r="S43" s="29" t="str">
        <f t="shared" ca="1" si="5"/>
        <v/>
      </c>
      <c r="T43" s="7"/>
      <c r="U43" s="74"/>
      <c r="V43" s="101">
        <f>IF(OR(T43="",U43=""),0,IFERROR(INDEX(#REF!,MATCH(T43,#REF!,0))*U43,0))</f>
        <v>0</v>
      </c>
      <c r="W43" s="7"/>
      <c r="X43" s="74"/>
      <c r="Y43" s="101">
        <f>IF(OR(W43="",X43=""),0,IFERROR(INDEX(#REF!,MATCH(W43,#REF!,0))*X43,0))</f>
        <v>0</v>
      </c>
      <c r="Z43" s="7"/>
      <c r="AA43" s="74"/>
      <c r="AB43" s="101">
        <f>IF(OR(Z43="",AA43=""),0,IFERROR(INDEX(#REF!,MATCH(Z43,#REF!,0))*AA43,0))</f>
        <v>0</v>
      </c>
      <c r="AC43" s="7"/>
      <c r="AD43" s="74"/>
      <c r="AE43" s="101">
        <f>IF(OR(AC43="",AD43=""),0,IFERROR(INDEX(#REF!,MATCH(AC43,#REF!,0))*AD43,0))</f>
        <v>0</v>
      </c>
      <c r="AF43" s="7"/>
      <c r="AG43" s="74"/>
      <c r="AH43" s="101">
        <f>IF(OR(AF43="",AG43=""),0,IFERROR(INDEX(#REF!,MATCH(AF43,#REF!,0))*AG43,0))</f>
        <v>0</v>
      </c>
      <c r="AI43" s="7"/>
      <c r="AJ43" s="74"/>
      <c r="AK43" s="101">
        <f>IF(OR(AI43="",AJ43=""),0,IFERROR(INDEX(#REF!,MATCH(AI43,#REF!,0))*AJ43,0))</f>
        <v>0</v>
      </c>
      <c r="AL43" s="101">
        <f t="shared" si="6"/>
        <v>0</v>
      </c>
      <c r="AM43" s="7"/>
      <c r="AN43" s="72"/>
      <c r="AO43" s="99">
        <f>IF(OR(AM43="",AN43=""),0,IFERROR(INDEX(#REF!,MATCH(AM43,#REF!,0))*AN43,0))</f>
        <v>0</v>
      </c>
      <c r="AP43" s="7"/>
      <c r="AQ43" s="74"/>
      <c r="AR43" s="99">
        <f>IF(OR(AP43="",AQ43=""),0,IFERROR(INDEX(#REF!,MATCH(AP43,#REF!,0))*AQ43,0))</f>
        <v>0</v>
      </c>
      <c r="AS43" s="7"/>
      <c r="AT43" s="74"/>
      <c r="AU43" s="99">
        <f>IF(OR(AS43="",AT43=""),0,IFERROR(INDEX(#REF!,MATCH(AS43,#REF!,0))*AT43,0))</f>
        <v>0</v>
      </c>
      <c r="AV43" s="7"/>
      <c r="AW43" s="74"/>
      <c r="AX43" s="99">
        <f>IF(OR(AV43="",AW43=""),0,IFERROR(INDEX(#REF!,MATCH(AV43,#REF!,0))*AW43,0))</f>
        <v>0</v>
      </c>
      <c r="AY43" s="7"/>
      <c r="AZ43" s="77"/>
      <c r="BA43" s="99">
        <f>IF(OR(AY43="",AZ43=""),0,IFERROR(INDEX(#REF!,MATCH(AY43,#REF!,0))*AZ43,0))</f>
        <v>0</v>
      </c>
      <c r="BB43" s="100">
        <f t="shared" si="7"/>
        <v>0</v>
      </c>
      <c r="BC43" s="110" t="str">
        <f t="shared" si="8"/>
        <v/>
      </c>
      <c r="BD43" s="62"/>
    </row>
    <row r="44" spans="1:56" ht="19.5" customHeight="1" x14ac:dyDescent="0.45">
      <c r="A44" s="104" t="str">
        <f t="shared" si="9"/>
        <v/>
      </c>
      <c r="B44" s="5"/>
      <c r="C44" s="109"/>
      <c r="D44" s="107"/>
      <c r="E44" s="6"/>
      <c r="F44" s="85"/>
      <c r="G44" s="85"/>
      <c r="H44" s="104" t="str">
        <f t="shared" si="0"/>
        <v/>
      </c>
      <c r="I44" s="103" t="str">
        <f>IFERROR(INDEX(#REF!,MATCH(E44,#REF!,0)),"")</f>
        <v/>
      </c>
      <c r="J44" s="6"/>
      <c r="K44" s="103" t="str">
        <f t="shared" si="2"/>
        <v/>
      </c>
      <c r="L44" s="8"/>
      <c r="M44" s="102" t="str">
        <f t="shared" si="3"/>
        <v/>
      </c>
      <c r="N44" s="9"/>
      <c r="O44" s="103" t="str">
        <f t="shared" si="4"/>
        <v/>
      </c>
      <c r="P44" s="6"/>
      <c r="Q44" s="7"/>
      <c r="R44" s="10"/>
      <c r="S44" s="29" t="str">
        <f t="shared" ca="1" si="5"/>
        <v/>
      </c>
      <c r="T44" s="7"/>
      <c r="U44" s="74"/>
      <c r="V44" s="101">
        <f>IF(OR(T44="",U44=""),0,IFERROR(INDEX(#REF!,MATCH(T44,#REF!,0))*U44,0))</f>
        <v>0</v>
      </c>
      <c r="W44" s="7"/>
      <c r="X44" s="74"/>
      <c r="Y44" s="101">
        <f>IF(OR(W44="",X44=""),0,IFERROR(INDEX(#REF!,MATCH(W44,#REF!,0))*X44,0))</f>
        <v>0</v>
      </c>
      <c r="Z44" s="7"/>
      <c r="AA44" s="74"/>
      <c r="AB44" s="101">
        <f>IF(OR(Z44="",AA44=""),0,IFERROR(INDEX(#REF!,MATCH(Z44,#REF!,0))*AA44,0))</f>
        <v>0</v>
      </c>
      <c r="AC44" s="7"/>
      <c r="AD44" s="74"/>
      <c r="AE44" s="101">
        <f>IF(OR(AC44="",AD44=""),0,IFERROR(INDEX(#REF!,MATCH(AC44,#REF!,0))*AD44,0))</f>
        <v>0</v>
      </c>
      <c r="AF44" s="7"/>
      <c r="AG44" s="74"/>
      <c r="AH44" s="101">
        <f>IF(OR(AF44="",AG44=""),0,IFERROR(INDEX(#REF!,MATCH(AF44,#REF!,0))*AG44,0))</f>
        <v>0</v>
      </c>
      <c r="AI44" s="7"/>
      <c r="AJ44" s="74"/>
      <c r="AK44" s="101">
        <f>IF(OR(AI44="",AJ44=""),0,IFERROR(INDEX(#REF!,MATCH(AI44,#REF!,0))*AJ44,0))</f>
        <v>0</v>
      </c>
      <c r="AL44" s="101">
        <f t="shared" si="6"/>
        <v>0</v>
      </c>
      <c r="AM44" s="7"/>
      <c r="AN44" s="72"/>
      <c r="AO44" s="99">
        <f>IF(OR(AM44="",AN44=""),0,IFERROR(INDEX(#REF!,MATCH(AM44,#REF!,0))*AN44,0))</f>
        <v>0</v>
      </c>
      <c r="AP44" s="7"/>
      <c r="AQ44" s="74"/>
      <c r="AR44" s="99">
        <f>IF(OR(AP44="",AQ44=""),0,IFERROR(INDEX(#REF!,MATCH(AP44,#REF!,0))*AQ44,0))</f>
        <v>0</v>
      </c>
      <c r="AS44" s="7"/>
      <c r="AT44" s="74"/>
      <c r="AU44" s="99">
        <f>IF(OR(AS44="",AT44=""),0,IFERROR(INDEX(#REF!,MATCH(AS44,#REF!,0))*AT44,0))</f>
        <v>0</v>
      </c>
      <c r="AV44" s="7"/>
      <c r="AW44" s="74"/>
      <c r="AX44" s="99">
        <f>IF(OR(AV44="",AW44=""),0,IFERROR(INDEX(#REF!,MATCH(AV44,#REF!,0))*AW44,0))</f>
        <v>0</v>
      </c>
      <c r="AY44" s="7"/>
      <c r="AZ44" s="77"/>
      <c r="BA44" s="99">
        <f>IF(OR(AY44="",AZ44=""),0,IFERROR(INDEX(#REF!,MATCH(AY44,#REF!,0))*AZ44,0))</f>
        <v>0</v>
      </c>
      <c r="BB44" s="100">
        <f t="shared" si="7"/>
        <v>0</v>
      </c>
      <c r="BC44" s="110" t="str">
        <f t="shared" si="8"/>
        <v/>
      </c>
      <c r="BD44" s="62"/>
    </row>
    <row r="45" spans="1:56" ht="19.5" customHeight="1" x14ac:dyDescent="0.45">
      <c r="A45" s="104" t="str">
        <f t="shared" si="9"/>
        <v/>
      </c>
      <c r="B45" s="5"/>
      <c r="C45" s="109"/>
      <c r="D45" s="107"/>
      <c r="E45" s="6"/>
      <c r="F45" s="85"/>
      <c r="G45" s="85"/>
      <c r="H45" s="104" t="str">
        <f t="shared" si="0"/>
        <v/>
      </c>
      <c r="I45" s="103" t="str">
        <f>IFERROR(INDEX(#REF!,MATCH(E45,#REF!,0)),"")</f>
        <v/>
      </c>
      <c r="J45" s="6"/>
      <c r="K45" s="103" t="str">
        <f t="shared" si="2"/>
        <v/>
      </c>
      <c r="L45" s="8"/>
      <c r="M45" s="102" t="str">
        <f t="shared" si="3"/>
        <v/>
      </c>
      <c r="N45" s="9"/>
      <c r="O45" s="103" t="str">
        <f t="shared" si="4"/>
        <v/>
      </c>
      <c r="P45" s="6"/>
      <c r="Q45" s="7"/>
      <c r="R45" s="10"/>
      <c r="S45" s="29" t="str">
        <f t="shared" ca="1" si="5"/>
        <v/>
      </c>
      <c r="T45" s="7"/>
      <c r="U45" s="74"/>
      <c r="V45" s="101">
        <f>IF(OR(T45="",U45=""),0,IFERROR(INDEX(#REF!,MATCH(T45,#REF!,0))*U45,0))</f>
        <v>0</v>
      </c>
      <c r="W45" s="7"/>
      <c r="X45" s="74"/>
      <c r="Y45" s="101">
        <f>IF(OR(W45="",X45=""),0,IFERROR(INDEX(#REF!,MATCH(W45,#REF!,0))*X45,0))</f>
        <v>0</v>
      </c>
      <c r="Z45" s="7"/>
      <c r="AA45" s="74"/>
      <c r="AB45" s="101">
        <f>IF(OR(Z45="",AA45=""),0,IFERROR(INDEX(#REF!,MATCH(Z45,#REF!,0))*AA45,0))</f>
        <v>0</v>
      </c>
      <c r="AC45" s="7"/>
      <c r="AD45" s="74"/>
      <c r="AE45" s="101">
        <f>IF(OR(AC45="",AD45=""),0,IFERROR(INDEX(#REF!,MATCH(AC45,#REF!,0))*AD45,0))</f>
        <v>0</v>
      </c>
      <c r="AF45" s="7"/>
      <c r="AG45" s="74"/>
      <c r="AH45" s="101">
        <f>IF(OR(AF45="",AG45=""),0,IFERROR(INDEX(#REF!,MATCH(AF45,#REF!,0))*AG45,0))</f>
        <v>0</v>
      </c>
      <c r="AI45" s="7"/>
      <c r="AJ45" s="74"/>
      <c r="AK45" s="101">
        <f>IF(OR(AI45="",AJ45=""),0,IFERROR(INDEX(#REF!,MATCH(AI45,#REF!,0))*AJ45,0))</f>
        <v>0</v>
      </c>
      <c r="AL45" s="101">
        <f t="shared" si="6"/>
        <v>0</v>
      </c>
      <c r="AM45" s="7"/>
      <c r="AN45" s="72"/>
      <c r="AO45" s="99">
        <f>IF(OR(AM45="",AN45=""),0,IFERROR(INDEX(#REF!,MATCH(AM45,#REF!,0))*AN45,0))</f>
        <v>0</v>
      </c>
      <c r="AP45" s="7"/>
      <c r="AQ45" s="74"/>
      <c r="AR45" s="99">
        <f>IF(OR(AP45="",AQ45=""),0,IFERROR(INDEX(#REF!,MATCH(AP45,#REF!,0))*AQ45,0))</f>
        <v>0</v>
      </c>
      <c r="AS45" s="7"/>
      <c r="AT45" s="74"/>
      <c r="AU45" s="99">
        <f>IF(OR(AS45="",AT45=""),0,IFERROR(INDEX(#REF!,MATCH(AS45,#REF!,0))*AT45,0))</f>
        <v>0</v>
      </c>
      <c r="AV45" s="7"/>
      <c r="AW45" s="74"/>
      <c r="AX45" s="99">
        <f>IF(OR(AV45="",AW45=""),0,IFERROR(INDEX(#REF!,MATCH(AV45,#REF!,0))*AW45,0))</f>
        <v>0</v>
      </c>
      <c r="AY45" s="7"/>
      <c r="AZ45" s="77"/>
      <c r="BA45" s="99">
        <f>IF(OR(AY45="",AZ45=""),0,IFERROR(INDEX(#REF!,MATCH(AY45,#REF!,0))*AZ45,0))</f>
        <v>0</v>
      </c>
      <c r="BB45" s="100">
        <f t="shared" si="7"/>
        <v>0</v>
      </c>
      <c r="BC45" s="110" t="str">
        <f t="shared" si="8"/>
        <v/>
      </c>
      <c r="BD45" s="62"/>
    </row>
    <row r="46" spans="1:56" ht="19.5" customHeight="1" x14ac:dyDescent="0.45">
      <c r="A46" s="104" t="str">
        <f t="shared" si="9"/>
        <v/>
      </c>
      <c r="B46" s="5"/>
      <c r="C46" s="109"/>
      <c r="D46" s="107"/>
      <c r="E46" s="6"/>
      <c r="F46" s="85"/>
      <c r="G46" s="85"/>
      <c r="H46" s="104" t="str">
        <f t="shared" si="0"/>
        <v/>
      </c>
      <c r="I46" s="103" t="str">
        <f>IFERROR(INDEX(#REF!,MATCH(E46,#REF!,0)),"")</f>
        <v/>
      </c>
      <c r="J46" s="6"/>
      <c r="K46" s="103" t="str">
        <f t="shared" si="2"/>
        <v/>
      </c>
      <c r="L46" s="8"/>
      <c r="M46" s="102" t="str">
        <f t="shared" si="3"/>
        <v/>
      </c>
      <c r="N46" s="9"/>
      <c r="O46" s="103" t="str">
        <f t="shared" si="4"/>
        <v/>
      </c>
      <c r="P46" s="6"/>
      <c r="Q46" s="7"/>
      <c r="R46" s="10"/>
      <c r="S46" s="29" t="str">
        <f t="shared" ca="1" si="5"/>
        <v/>
      </c>
      <c r="T46" s="7"/>
      <c r="U46" s="74"/>
      <c r="V46" s="101">
        <f>IF(OR(T46="",U46=""),0,IFERROR(INDEX(#REF!,MATCH(T46,#REF!,0))*U46,0))</f>
        <v>0</v>
      </c>
      <c r="W46" s="7"/>
      <c r="X46" s="74"/>
      <c r="Y46" s="101">
        <f>IF(OR(W46="",X46=""),0,IFERROR(INDEX(#REF!,MATCH(W46,#REF!,0))*X46,0))</f>
        <v>0</v>
      </c>
      <c r="Z46" s="7"/>
      <c r="AA46" s="74"/>
      <c r="AB46" s="101">
        <f>IF(OR(Z46="",AA46=""),0,IFERROR(INDEX(#REF!,MATCH(Z46,#REF!,0))*AA46,0))</f>
        <v>0</v>
      </c>
      <c r="AC46" s="7"/>
      <c r="AD46" s="74"/>
      <c r="AE46" s="101">
        <f>IF(OR(AC46="",AD46=""),0,IFERROR(INDEX(#REF!,MATCH(AC46,#REF!,0))*AD46,0))</f>
        <v>0</v>
      </c>
      <c r="AF46" s="7"/>
      <c r="AG46" s="74"/>
      <c r="AH46" s="101">
        <f>IF(OR(AF46="",AG46=""),0,IFERROR(INDEX(#REF!,MATCH(AF46,#REF!,0))*AG46,0))</f>
        <v>0</v>
      </c>
      <c r="AI46" s="7"/>
      <c r="AJ46" s="74"/>
      <c r="AK46" s="101">
        <f>IF(OR(AI46="",AJ46=""),0,IFERROR(INDEX(#REF!,MATCH(AI46,#REF!,0))*AJ46,0))</f>
        <v>0</v>
      </c>
      <c r="AL46" s="101">
        <f t="shared" si="6"/>
        <v>0</v>
      </c>
      <c r="AM46" s="7"/>
      <c r="AN46" s="72"/>
      <c r="AO46" s="99">
        <f>IF(OR(AM46="",AN46=""),0,IFERROR(INDEX(#REF!,MATCH(AM46,#REF!,0))*AN46,0))</f>
        <v>0</v>
      </c>
      <c r="AP46" s="7"/>
      <c r="AQ46" s="74"/>
      <c r="AR46" s="99">
        <f>IF(OR(AP46="",AQ46=""),0,IFERROR(INDEX(#REF!,MATCH(AP46,#REF!,0))*AQ46,0))</f>
        <v>0</v>
      </c>
      <c r="AS46" s="7"/>
      <c r="AT46" s="74"/>
      <c r="AU46" s="99">
        <f>IF(OR(AS46="",AT46=""),0,IFERROR(INDEX(#REF!,MATCH(AS46,#REF!,0))*AT46,0))</f>
        <v>0</v>
      </c>
      <c r="AV46" s="7"/>
      <c r="AW46" s="74"/>
      <c r="AX46" s="99">
        <f>IF(OR(AV46="",AW46=""),0,IFERROR(INDEX(#REF!,MATCH(AV46,#REF!,0))*AW46,0))</f>
        <v>0</v>
      </c>
      <c r="AY46" s="7"/>
      <c r="AZ46" s="77"/>
      <c r="BA46" s="99">
        <f>IF(OR(AY46="",AZ46=""),0,IFERROR(INDEX(#REF!,MATCH(AY46,#REF!,0))*AZ46,0))</f>
        <v>0</v>
      </c>
      <c r="BB46" s="100">
        <f t="shared" si="7"/>
        <v>0</v>
      </c>
      <c r="BC46" s="110" t="str">
        <f t="shared" si="8"/>
        <v/>
      </c>
      <c r="BD46" s="62"/>
    </row>
    <row r="47" spans="1:56" ht="19.5" customHeight="1" x14ac:dyDescent="0.45">
      <c r="A47" s="104" t="str">
        <f t="shared" si="9"/>
        <v/>
      </c>
      <c r="B47" s="5"/>
      <c r="C47" s="109"/>
      <c r="D47" s="107"/>
      <c r="E47" s="6"/>
      <c r="F47" s="85"/>
      <c r="G47" s="85"/>
      <c r="H47" s="104" t="str">
        <f t="shared" si="0"/>
        <v/>
      </c>
      <c r="I47" s="103" t="str">
        <f>IFERROR(INDEX(#REF!,MATCH(E47,#REF!,0)),"")</f>
        <v/>
      </c>
      <c r="J47" s="6"/>
      <c r="K47" s="103" t="str">
        <f t="shared" si="2"/>
        <v/>
      </c>
      <c r="L47" s="8"/>
      <c r="M47" s="102" t="str">
        <f t="shared" si="3"/>
        <v/>
      </c>
      <c r="N47" s="9"/>
      <c r="O47" s="103" t="str">
        <f t="shared" si="4"/>
        <v/>
      </c>
      <c r="P47" s="6"/>
      <c r="Q47" s="7"/>
      <c r="R47" s="10"/>
      <c r="S47" s="29" t="str">
        <f t="shared" ca="1" si="5"/>
        <v/>
      </c>
      <c r="T47" s="7"/>
      <c r="U47" s="74"/>
      <c r="V47" s="101">
        <f>IF(OR(T47="",U47=""),0,IFERROR(INDEX(#REF!,MATCH(T47,#REF!,0))*U47,0))</f>
        <v>0</v>
      </c>
      <c r="W47" s="7"/>
      <c r="X47" s="74"/>
      <c r="Y47" s="101">
        <f>IF(OR(W47="",X47=""),0,IFERROR(INDEX(#REF!,MATCH(W47,#REF!,0))*X47,0))</f>
        <v>0</v>
      </c>
      <c r="Z47" s="7"/>
      <c r="AA47" s="74"/>
      <c r="AB47" s="101">
        <f>IF(OR(Z47="",AA47=""),0,IFERROR(INDEX(#REF!,MATCH(Z47,#REF!,0))*AA47,0))</f>
        <v>0</v>
      </c>
      <c r="AC47" s="7"/>
      <c r="AD47" s="74"/>
      <c r="AE47" s="101">
        <f>IF(OR(AC47="",AD47=""),0,IFERROR(INDEX(#REF!,MATCH(AC47,#REF!,0))*AD47,0))</f>
        <v>0</v>
      </c>
      <c r="AF47" s="7"/>
      <c r="AG47" s="74"/>
      <c r="AH47" s="101">
        <f>IF(OR(AF47="",AG47=""),0,IFERROR(INDEX(#REF!,MATCH(AF47,#REF!,0))*AG47,0))</f>
        <v>0</v>
      </c>
      <c r="AI47" s="7"/>
      <c r="AJ47" s="74"/>
      <c r="AK47" s="101">
        <f>IF(OR(AI47="",AJ47=""),0,IFERROR(INDEX(#REF!,MATCH(AI47,#REF!,0))*AJ47,0))</f>
        <v>0</v>
      </c>
      <c r="AL47" s="101">
        <f t="shared" si="6"/>
        <v>0</v>
      </c>
      <c r="AM47" s="7"/>
      <c r="AN47" s="72"/>
      <c r="AO47" s="99">
        <f>IF(OR(AM47="",AN47=""),0,IFERROR(INDEX(#REF!,MATCH(AM47,#REF!,0))*AN47,0))</f>
        <v>0</v>
      </c>
      <c r="AP47" s="7"/>
      <c r="AQ47" s="74"/>
      <c r="AR47" s="99">
        <f>IF(OR(AP47="",AQ47=""),0,IFERROR(INDEX(#REF!,MATCH(AP47,#REF!,0))*AQ47,0))</f>
        <v>0</v>
      </c>
      <c r="AS47" s="7"/>
      <c r="AT47" s="74"/>
      <c r="AU47" s="99">
        <f>IF(OR(AS47="",AT47=""),0,IFERROR(INDEX(#REF!,MATCH(AS47,#REF!,0))*AT47,0))</f>
        <v>0</v>
      </c>
      <c r="AV47" s="7"/>
      <c r="AW47" s="74"/>
      <c r="AX47" s="99">
        <f>IF(OR(AV47="",AW47=""),0,IFERROR(INDEX(#REF!,MATCH(AV47,#REF!,0))*AW47,0))</f>
        <v>0</v>
      </c>
      <c r="AY47" s="7"/>
      <c r="AZ47" s="77"/>
      <c r="BA47" s="99">
        <f>IF(OR(AY47="",AZ47=""),0,IFERROR(INDEX(#REF!,MATCH(AY47,#REF!,0))*AZ47,0))</f>
        <v>0</v>
      </c>
      <c r="BB47" s="100">
        <f t="shared" si="7"/>
        <v>0</v>
      </c>
      <c r="BC47" s="110" t="str">
        <f t="shared" si="8"/>
        <v/>
      </c>
      <c r="BD47" s="62"/>
    </row>
    <row r="48" spans="1:56" ht="19.5" customHeight="1" x14ac:dyDescent="0.45">
      <c r="A48" s="104" t="str">
        <f t="shared" si="9"/>
        <v/>
      </c>
      <c r="B48" s="5"/>
      <c r="C48" s="109"/>
      <c r="D48" s="107"/>
      <c r="E48" s="6"/>
      <c r="F48" s="85"/>
      <c r="G48" s="85"/>
      <c r="H48" s="104" t="str">
        <f t="shared" si="0"/>
        <v/>
      </c>
      <c r="I48" s="103" t="str">
        <f>IFERROR(INDEX(#REF!,MATCH(E48,#REF!,0)),"")</f>
        <v/>
      </c>
      <c r="J48" s="6"/>
      <c r="K48" s="103" t="str">
        <f t="shared" si="2"/>
        <v/>
      </c>
      <c r="L48" s="8"/>
      <c r="M48" s="102" t="str">
        <f t="shared" si="3"/>
        <v/>
      </c>
      <c r="N48" s="9"/>
      <c r="O48" s="103" t="str">
        <f t="shared" si="4"/>
        <v/>
      </c>
      <c r="P48" s="6"/>
      <c r="Q48" s="7"/>
      <c r="R48" s="10"/>
      <c r="S48" s="29" t="str">
        <f t="shared" ca="1" si="5"/>
        <v/>
      </c>
      <c r="T48" s="7"/>
      <c r="U48" s="74"/>
      <c r="V48" s="101">
        <f>IF(OR(T48="",U48=""),0,IFERROR(INDEX(#REF!,MATCH(T48,#REF!,0))*U48,0))</f>
        <v>0</v>
      </c>
      <c r="W48" s="7"/>
      <c r="X48" s="74"/>
      <c r="Y48" s="101">
        <f>IF(OR(W48="",X48=""),0,IFERROR(INDEX(#REF!,MATCH(W48,#REF!,0))*X48,0))</f>
        <v>0</v>
      </c>
      <c r="Z48" s="7"/>
      <c r="AA48" s="74"/>
      <c r="AB48" s="101">
        <f>IF(OR(Z48="",AA48=""),0,IFERROR(INDEX(#REF!,MATCH(Z48,#REF!,0))*AA48,0))</f>
        <v>0</v>
      </c>
      <c r="AC48" s="7"/>
      <c r="AD48" s="74"/>
      <c r="AE48" s="101">
        <f>IF(OR(AC48="",AD48=""),0,IFERROR(INDEX(#REF!,MATCH(AC48,#REF!,0))*AD48,0))</f>
        <v>0</v>
      </c>
      <c r="AF48" s="7"/>
      <c r="AG48" s="74"/>
      <c r="AH48" s="101">
        <f>IF(OR(AF48="",AG48=""),0,IFERROR(INDEX(#REF!,MATCH(AF48,#REF!,0))*AG48,0))</f>
        <v>0</v>
      </c>
      <c r="AI48" s="7"/>
      <c r="AJ48" s="74"/>
      <c r="AK48" s="101">
        <f>IF(OR(AI48="",AJ48=""),0,IFERROR(INDEX(#REF!,MATCH(AI48,#REF!,0))*AJ48,0))</f>
        <v>0</v>
      </c>
      <c r="AL48" s="101">
        <f t="shared" si="6"/>
        <v>0</v>
      </c>
      <c r="AM48" s="7"/>
      <c r="AN48" s="72"/>
      <c r="AO48" s="99">
        <f>IF(OR(AM48="",AN48=""),0,IFERROR(INDEX(#REF!,MATCH(AM48,#REF!,0))*AN48,0))</f>
        <v>0</v>
      </c>
      <c r="AP48" s="7"/>
      <c r="AQ48" s="74"/>
      <c r="AR48" s="99">
        <f>IF(OR(AP48="",AQ48=""),0,IFERROR(INDEX(#REF!,MATCH(AP48,#REF!,0))*AQ48,0))</f>
        <v>0</v>
      </c>
      <c r="AS48" s="7"/>
      <c r="AT48" s="74"/>
      <c r="AU48" s="99">
        <f>IF(OR(AS48="",AT48=""),0,IFERROR(INDEX(#REF!,MATCH(AS48,#REF!,0))*AT48,0))</f>
        <v>0</v>
      </c>
      <c r="AV48" s="7"/>
      <c r="AW48" s="74"/>
      <c r="AX48" s="99">
        <f>IF(OR(AV48="",AW48=""),0,IFERROR(INDEX(#REF!,MATCH(AV48,#REF!,0))*AW48,0))</f>
        <v>0</v>
      </c>
      <c r="AY48" s="7"/>
      <c r="AZ48" s="77"/>
      <c r="BA48" s="99">
        <f>IF(OR(AY48="",AZ48=""),0,IFERROR(INDEX(#REF!,MATCH(AY48,#REF!,0))*AZ48,0))</f>
        <v>0</v>
      </c>
      <c r="BB48" s="100">
        <f t="shared" si="7"/>
        <v>0</v>
      </c>
      <c r="BC48" s="110" t="str">
        <f t="shared" si="8"/>
        <v/>
      </c>
      <c r="BD48" s="62"/>
    </row>
    <row r="49" spans="1:56" ht="19.5" customHeight="1" x14ac:dyDescent="0.45">
      <c r="A49" s="104" t="str">
        <f t="shared" si="9"/>
        <v/>
      </c>
      <c r="B49" s="5"/>
      <c r="C49" s="109"/>
      <c r="D49" s="107"/>
      <c r="E49" s="6"/>
      <c r="F49" s="85"/>
      <c r="G49" s="85"/>
      <c r="H49" s="104" t="str">
        <f t="shared" si="0"/>
        <v/>
      </c>
      <c r="I49" s="103" t="str">
        <f>IFERROR(INDEX(#REF!,MATCH(E49,#REF!,0)),"")</f>
        <v/>
      </c>
      <c r="J49" s="6"/>
      <c r="K49" s="103" t="str">
        <f t="shared" si="2"/>
        <v/>
      </c>
      <c r="L49" s="8"/>
      <c r="M49" s="102" t="str">
        <f t="shared" si="3"/>
        <v/>
      </c>
      <c r="N49" s="9"/>
      <c r="O49" s="103" t="str">
        <f t="shared" si="4"/>
        <v/>
      </c>
      <c r="P49" s="6"/>
      <c r="Q49" s="7"/>
      <c r="R49" s="10"/>
      <c r="S49" s="29" t="str">
        <f t="shared" ca="1" si="5"/>
        <v/>
      </c>
      <c r="T49" s="7"/>
      <c r="U49" s="74"/>
      <c r="V49" s="101">
        <f>IF(OR(T49="",U49=""),0,IFERROR(INDEX(#REF!,MATCH(T49,#REF!,0))*U49,0))</f>
        <v>0</v>
      </c>
      <c r="W49" s="7"/>
      <c r="X49" s="74"/>
      <c r="Y49" s="101">
        <f>IF(OR(W49="",X49=""),0,IFERROR(INDEX(#REF!,MATCH(W49,#REF!,0))*X49,0))</f>
        <v>0</v>
      </c>
      <c r="Z49" s="7"/>
      <c r="AA49" s="74"/>
      <c r="AB49" s="101">
        <f>IF(OR(Z49="",AA49=""),0,IFERROR(INDEX(#REF!,MATCH(Z49,#REF!,0))*AA49,0))</f>
        <v>0</v>
      </c>
      <c r="AC49" s="7"/>
      <c r="AD49" s="74"/>
      <c r="AE49" s="101">
        <f>IF(OR(AC49="",AD49=""),0,IFERROR(INDEX(#REF!,MATCH(AC49,#REF!,0))*AD49,0))</f>
        <v>0</v>
      </c>
      <c r="AF49" s="7"/>
      <c r="AG49" s="74"/>
      <c r="AH49" s="101">
        <f>IF(OR(AF49="",AG49=""),0,IFERROR(INDEX(#REF!,MATCH(AF49,#REF!,0))*AG49,0))</f>
        <v>0</v>
      </c>
      <c r="AI49" s="7"/>
      <c r="AJ49" s="74"/>
      <c r="AK49" s="101">
        <f>IF(OR(AI49="",AJ49=""),0,IFERROR(INDEX(#REF!,MATCH(AI49,#REF!,0))*AJ49,0))</f>
        <v>0</v>
      </c>
      <c r="AL49" s="101">
        <f t="shared" si="6"/>
        <v>0</v>
      </c>
      <c r="AM49" s="7"/>
      <c r="AN49" s="72"/>
      <c r="AO49" s="99">
        <f>IF(OR(AM49="",AN49=""),0,IFERROR(INDEX(#REF!,MATCH(AM49,#REF!,0))*AN49,0))</f>
        <v>0</v>
      </c>
      <c r="AP49" s="7"/>
      <c r="AQ49" s="74"/>
      <c r="AR49" s="99">
        <f>IF(OR(AP49="",AQ49=""),0,IFERROR(INDEX(#REF!,MATCH(AP49,#REF!,0))*AQ49,0))</f>
        <v>0</v>
      </c>
      <c r="AS49" s="7"/>
      <c r="AT49" s="74"/>
      <c r="AU49" s="99">
        <f>IF(OR(AS49="",AT49=""),0,IFERROR(INDEX(#REF!,MATCH(AS49,#REF!,0))*AT49,0))</f>
        <v>0</v>
      </c>
      <c r="AV49" s="7"/>
      <c r="AW49" s="74"/>
      <c r="AX49" s="99">
        <f>IF(OR(AV49="",AW49=""),0,IFERROR(INDEX(#REF!,MATCH(AV49,#REF!,0))*AW49,0))</f>
        <v>0</v>
      </c>
      <c r="AY49" s="7"/>
      <c r="AZ49" s="77"/>
      <c r="BA49" s="99">
        <f>IF(OR(AY49="",AZ49=""),0,IFERROR(INDEX(#REF!,MATCH(AY49,#REF!,0))*AZ49,0))</f>
        <v>0</v>
      </c>
      <c r="BB49" s="100">
        <f t="shared" si="7"/>
        <v>0</v>
      </c>
      <c r="BC49" s="110" t="str">
        <f t="shared" si="8"/>
        <v/>
      </c>
      <c r="BD49" s="62"/>
    </row>
    <row r="50" spans="1:56" ht="19.5" customHeight="1" x14ac:dyDescent="0.45">
      <c r="A50" s="104" t="str">
        <f t="shared" si="9"/>
        <v/>
      </c>
      <c r="B50" s="5"/>
      <c r="C50" s="109"/>
      <c r="D50" s="107"/>
      <c r="E50" s="6"/>
      <c r="F50" s="85"/>
      <c r="G50" s="85"/>
      <c r="H50" s="104" t="str">
        <f t="shared" si="0"/>
        <v/>
      </c>
      <c r="I50" s="103" t="str">
        <f>IFERROR(INDEX(#REF!,MATCH(E50,#REF!,0)),"")</f>
        <v/>
      </c>
      <c r="J50" s="6"/>
      <c r="K50" s="103" t="str">
        <f t="shared" si="2"/>
        <v/>
      </c>
      <c r="L50" s="8"/>
      <c r="M50" s="102" t="str">
        <f t="shared" si="3"/>
        <v/>
      </c>
      <c r="N50" s="9"/>
      <c r="O50" s="103" t="str">
        <f t="shared" si="4"/>
        <v/>
      </c>
      <c r="P50" s="6"/>
      <c r="Q50" s="7"/>
      <c r="R50" s="10"/>
      <c r="S50" s="29" t="str">
        <f t="shared" ca="1" si="5"/>
        <v/>
      </c>
      <c r="T50" s="7"/>
      <c r="U50" s="74"/>
      <c r="V50" s="101">
        <f>IF(OR(T50="",U50=""),0,IFERROR(INDEX(#REF!,MATCH(T50,#REF!,0))*U50,0))</f>
        <v>0</v>
      </c>
      <c r="W50" s="7"/>
      <c r="X50" s="74"/>
      <c r="Y50" s="101">
        <f>IF(OR(W50="",X50=""),0,IFERROR(INDEX(#REF!,MATCH(W50,#REF!,0))*X50,0))</f>
        <v>0</v>
      </c>
      <c r="Z50" s="7"/>
      <c r="AA50" s="74"/>
      <c r="AB50" s="101">
        <f>IF(OR(Z50="",AA50=""),0,IFERROR(INDEX(#REF!,MATCH(Z50,#REF!,0))*AA50,0))</f>
        <v>0</v>
      </c>
      <c r="AC50" s="7"/>
      <c r="AD50" s="74"/>
      <c r="AE50" s="101">
        <f>IF(OR(AC50="",AD50=""),0,IFERROR(INDEX(#REF!,MATCH(AC50,#REF!,0))*AD50,0))</f>
        <v>0</v>
      </c>
      <c r="AF50" s="7"/>
      <c r="AG50" s="74"/>
      <c r="AH50" s="101">
        <f>IF(OR(AF50="",AG50=""),0,IFERROR(INDEX(#REF!,MATCH(AF50,#REF!,0))*AG50,0))</f>
        <v>0</v>
      </c>
      <c r="AI50" s="7"/>
      <c r="AJ50" s="74"/>
      <c r="AK50" s="101">
        <f>IF(OR(AI50="",AJ50=""),0,IFERROR(INDEX(#REF!,MATCH(AI50,#REF!,0))*AJ50,0))</f>
        <v>0</v>
      </c>
      <c r="AL50" s="101">
        <f t="shared" si="6"/>
        <v>0</v>
      </c>
      <c r="AM50" s="7"/>
      <c r="AN50" s="72"/>
      <c r="AO50" s="99">
        <f>IF(OR(AM50="",AN50=""),0,IFERROR(INDEX(#REF!,MATCH(AM50,#REF!,0))*AN50,0))</f>
        <v>0</v>
      </c>
      <c r="AP50" s="7"/>
      <c r="AQ50" s="74"/>
      <c r="AR50" s="99">
        <f>IF(OR(AP50="",AQ50=""),0,IFERROR(INDEX(#REF!,MATCH(AP50,#REF!,0))*AQ50,0))</f>
        <v>0</v>
      </c>
      <c r="AS50" s="7"/>
      <c r="AT50" s="74"/>
      <c r="AU50" s="99">
        <f>IF(OR(AS50="",AT50=""),0,IFERROR(INDEX(#REF!,MATCH(AS50,#REF!,0))*AT50,0))</f>
        <v>0</v>
      </c>
      <c r="AV50" s="7"/>
      <c r="AW50" s="74"/>
      <c r="AX50" s="99">
        <f>IF(OR(AV50="",AW50=""),0,IFERROR(INDEX(#REF!,MATCH(AV50,#REF!,0))*AW50,0))</f>
        <v>0</v>
      </c>
      <c r="AY50" s="7"/>
      <c r="AZ50" s="77"/>
      <c r="BA50" s="99">
        <f>IF(OR(AY50="",AZ50=""),0,IFERROR(INDEX(#REF!,MATCH(AY50,#REF!,0))*AZ50,0))</f>
        <v>0</v>
      </c>
      <c r="BB50" s="100">
        <f t="shared" si="7"/>
        <v>0</v>
      </c>
      <c r="BC50" s="110" t="str">
        <f t="shared" si="8"/>
        <v/>
      </c>
      <c r="BD50" s="62"/>
    </row>
    <row r="51" spans="1:56" ht="19.5" customHeight="1" x14ac:dyDescent="0.45">
      <c r="A51" s="104" t="str">
        <f t="shared" si="9"/>
        <v/>
      </c>
      <c r="B51" s="5"/>
      <c r="C51" s="109"/>
      <c r="D51" s="107"/>
      <c r="E51" s="6"/>
      <c r="F51" s="85"/>
      <c r="G51" s="85"/>
      <c r="H51" s="104" t="str">
        <f t="shared" si="0"/>
        <v/>
      </c>
      <c r="I51" s="103" t="str">
        <f>IFERROR(INDEX(#REF!,MATCH(E51,#REF!,0)),"")</f>
        <v/>
      </c>
      <c r="J51" s="6"/>
      <c r="K51" s="103" t="str">
        <f t="shared" si="2"/>
        <v/>
      </c>
      <c r="L51" s="8"/>
      <c r="M51" s="102" t="str">
        <f t="shared" si="3"/>
        <v/>
      </c>
      <c r="N51" s="9"/>
      <c r="O51" s="103" t="str">
        <f t="shared" si="4"/>
        <v/>
      </c>
      <c r="P51" s="6"/>
      <c r="Q51" s="7"/>
      <c r="R51" s="10"/>
      <c r="S51" s="29" t="str">
        <f t="shared" ca="1" si="5"/>
        <v/>
      </c>
      <c r="T51" s="7"/>
      <c r="U51" s="74"/>
      <c r="V51" s="101">
        <f>IF(OR(T51="",U51=""),0,IFERROR(INDEX(#REF!,MATCH(T51,#REF!,0))*U51,0))</f>
        <v>0</v>
      </c>
      <c r="W51" s="7"/>
      <c r="X51" s="74"/>
      <c r="Y51" s="101">
        <f>IF(OR(W51="",X51=""),0,IFERROR(INDEX(#REF!,MATCH(W51,#REF!,0))*X51,0))</f>
        <v>0</v>
      </c>
      <c r="Z51" s="7"/>
      <c r="AA51" s="74"/>
      <c r="AB51" s="101">
        <f>IF(OR(Z51="",AA51=""),0,IFERROR(INDEX(#REF!,MATCH(Z51,#REF!,0))*AA51,0))</f>
        <v>0</v>
      </c>
      <c r="AC51" s="7"/>
      <c r="AD51" s="74"/>
      <c r="AE51" s="101">
        <f>IF(OR(AC51="",AD51=""),0,IFERROR(INDEX(#REF!,MATCH(AC51,#REF!,0))*AD51,0))</f>
        <v>0</v>
      </c>
      <c r="AF51" s="7"/>
      <c r="AG51" s="74"/>
      <c r="AH51" s="101">
        <f>IF(OR(AF51="",AG51=""),0,IFERROR(INDEX(#REF!,MATCH(AF51,#REF!,0))*AG51,0))</f>
        <v>0</v>
      </c>
      <c r="AI51" s="7"/>
      <c r="AJ51" s="74"/>
      <c r="AK51" s="101">
        <f>IF(OR(AI51="",AJ51=""),0,IFERROR(INDEX(#REF!,MATCH(AI51,#REF!,0))*AJ51,0))</f>
        <v>0</v>
      </c>
      <c r="AL51" s="101">
        <f t="shared" si="6"/>
        <v>0</v>
      </c>
      <c r="AM51" s="7"/>
      <c r="AN51" s="72"/>
      <c r="AO51" s="99">
        <f>IF(OR(AM51="",AN51=""),0,IFERROR(INDEX(#REF!,MATCH(AM51,#REF!,0))*AN51,0))</f>
        <v>0</v>
      </c>
      <c r="AP51" s="7"/>
      <c r="AQ51" s="74"/>
      <c r="AR51" s="99">
        <f>IF(OR(AP51="",AQ51=""),0,IFERROR(INDEX(#REF!,MATCH(AP51,#REF!,0))*AQ51,0))</f>
        <v>0</v>
      </c>
      <c r="AS51" s="7"/>
      <c r="AT51" s="74"/>
      <c r="AU51" s="99">
        <f>IF(OR(AS51="",AT51=""),0,IFERROR(INDEX(#REF!,MATCH(AS51,#REF!,0))*AT51,0))</f>
        <v>0</v>
      </c>
      <c r="AV51" s="7"/>
      <c r="AW51" s="74"/>
      <c r="AX51" s="99">
        <f>IF(OR(AV51="",AW51=""),0,IFERROR(INDEX(#REF!,MATCH(AV51,#REF!,0))*AW51,0))</f>
        <v>0</v>
      </c>
      <c r="AY51" s="7"/>
      <c r="AZ51" s="77"/>
      <c r="BA51" s="99">
        <f>IF(OR(AY51="",AZ51=""),0,IFERROR(INDEX(#REF!,MATCH(AY51,#REF!,0))*AZ51,0))</f>
        <v>0</v>
      </c>
      <c r="BB51" s="100">
        <f t="shared" si="7"/>
        <v>0</v>
      </c>
      <c r="BC51" s="110" t="str">
        <f t="shared" si="8"/>
        <v/>
      </c>
      <c r="BD51" s="62"/>
    </row>
    <row r="52" spans="1:56" ht="19.5" customHeight="1" x14ac:dyDescent="0.45">
      <c r="A52" s="104" t="str">
        <f t="shared" si="9"/>
        <v/>
      </c>
      <c r="B52" s="5"/>
      <c r="C52" s="109"/>
      <c r="D52" s="107"/>
      <c r="E52" s="6"/>
      <c r="F52" s="85"/>
      <c r="G52" s="85"/>
      <c r="H52" s="104" t="str">
        <f t="shared" si="0"/>
        <v/>
      </c>
      <c r="I52" s="103" t="str">
        <f>IFERROR(INDEX(#REF!,MATCH(E52,#REF!,0)),"")</f>
        <v/>
      </c>
      <c r="J52" s="6"/>
      <c r="K52" s="103" t="str">
        <f t="shared" si="2"/>
        <v/>
      </c>
      <c r="L52" s="8"/>
      <c r="M52" s="102" t="str">
        <f t="shared" si="3"/>
        <v/>
      </c>
      <c r="N52" s="9"/>
      <c r="O52" s="103" t="str">
        <f t="shared" si="4"/>
        <v/>
      </c>
      <c r="P52" s="6"/>
      <c r="Q52" s="7"/>
      <c r="R52" s="10"/>
      <c r="S52" s="29" t="str">
        <f t="shared" ca="1" si="5"/>
        <v/>
      </c>
      <c r="T52" s="7"/>
      <c r="U52" s="74"/>
      <c r="V52" s="101">
        <f>IF(OR(T52="",U52=""),0,IFERROR(INDEX(#REF!,MATCH(T52,#REF!,0))*U52,0))</f>
        <v>0</v>
      </c>
      <c r="W52" s="7"/>
      <c r="X52" s="74"/>
      <c r="Y52" s="101">
        <f>IF(OR(W52="",X52=""),0,IFERROR(INDEX(#REF!,MATCH(W52,#REF!,0))*X52,0))</f>
        <v>0</v>
      </c>
      <c r="Z52" s="7"/>
      <c r="AA52" s="74"/>
      <c r="AB52" s="101">
        <f>IF(OR(Z52="",AA52=""),0,IFERROR(INDEX(#REF!,MATCH(Z52,#REF!,0))*AA52,0))</f>
        <v>0</v>
      </c>
      <c r="AC52" s="7"/>
      <c r="AD52" s="74"/>
      <c r="AE52" s="101">
        <f>IF(OR(AC52="",AD52=""),0,IFERROR(INDEX(#REF!,MATCH(AC52,#REF!,0))*AD52,0))</f>
        <v>0</v>
      </c>
      <c r="AF52" s="7"/>
      <c r="AG52" s="74"/>
      <c r="AH52" s="101">
        <f>IF(OR(AF52="",AG52=""),0,IFERROR(INDEX(#REF!,MATCH(AF52,#REF!,0))*AG52,0))</f>
        <v>0</v>
      </c>
      <c r="AI52" s="7"/>
      <c r="AJ52" s="74"/>
      <c r="AK52" s="101">
        <f>IF(OR(AI52="",AJ52=""),0,IFERROR(INDEX(#REF!,MATCH(AI52,#REF!,0))*AJ52,0))</f>
        <v>0</v>
      </c>
      <c r="AL52" s="101">
        <f t="shared" si="6"/>
        <v>0</v>
      </c>
      <c r="AM52" s="7"/>
      <c r="AN52" s="72"/>
      <c r="AO52" s="99">
        <f>IF(OR(AM52="",AN52=""),0,IFERROR(INDEX(#REF!,MATCH(AM52,#REF!,0))*AN52,0))</f>
        <v>0</v>
      </c>
      <c r="AP52" s="7"/>
      <c r="AQ52" s="74"/>
      <c r="AR52" s="99">
        <f>IF(OR(AP52="",AQ52=""),0,IFERROR(INDEX(#REF!,MATCH(AP52,#REF!,0))*AQ52,0))</f>
        <v>0</v>
      </c>
      <c r="AS52" s="7"/>
      <c r="AT52" s="74"/>
      <c r="AU52" s="99">
        <f>IF(OR(AS52="",AT52=""),0,IFERROR(INDEX(#REF!,MATCH(AS52,#REF!,0))*AT52,0))</f>
        <v>0</v>
      </c>
      <c r="AV52" s="7"/>
      <c r="AW52" s="74"/>
      <c r="AX52" s="99">
        <f>IF(OR(AV52="",AW52=""),0,IFERROR(INDEX(#REF!,MATCH(AV52,#REF!,0))*AW52,0))</f>
        <v>0</v>
      </c>
      <c r="AY52" s="7"/>
      <c r="AZ52" s="77"/>
      <c r="BA52" s="99">
        <f>IF(OR(AY52="",AZ52=""),0,IFERROR(INDEX(#REF!,MATCH(AY52,#REF!,0))*AZ52,0))</f>
        <v>0</v>
      </c>
      <c r="BB52" s="100">
        <f t="shared" si="7"/>
        <v>0</v>
      </c>
      <c r="BC52" s="110" t="str">
        <f t="shared" si="8"/>
        <v/>
      </c>
      <c r="BD52" s="62"/>
    </row>
    <row r="53" spans="1:56" ht="19.5" customHeight="1" x14ac:dyDescent="0.45">
      <c r="A53" s="104" t="str">
        <f t="shared" si="9"/>
        <v/>
      </c>
      <c r="B53" s="5"/>
      <c r="C53" s="109"/>
      <c r="D53" s="107"/>
      <c r="E53" s="6"/>
      <c r="F53" s="85"/>
      <c r="G53" s="85"/>
      <c r="H53" s="104" t="str">
        <f t="shared" si="0"/>
        <v/>
      </c>
      <c r="I53" s="103" t="str">
        <f>IFERROR(INDEX(#REF!,MATCH(E53,#REF!,0)),"")</f>
        <v/>
      </c>
      <c r="J53" s="6"/>
      <c r="K53" s="103" t="str">
        <f t="shared" si="2"/>
        <v/>
      </c>
      <c r="L53" s="8"/>
      <c r="M53" s="102" t="str">
        <f t="shared" si="3"/>
        <v/>
      </c>
      <c r="N53" s="9"/>
      <c r="O53" s="103" t="str">
        <f t="shared" si="4"/>
        <v/>
      </c>
      <c r="P53" s="6"/>
      <c r="Q53" s="7"/>
      <c r="R53" s="10"/>
      <c r="S53" s="29" t="str">
        <f t="shared" ca="1" si="5"/>
        <v/>
      </c>
      <c r="T53" s="7"/>
      <c r="U53" s="74"/>
      <c r="V53" s="101">
        <f>IF(OR(T53="",U53=""),0,IFERROR(INDEX(#REF!,MATCH(T53,#REF!,0))*U53,0))</f>
        <v>0</v>
      </c>
      <c r="W53" s="7"/>
      <c r="X53" s="74"/>
      <c r="Y53" s="101">
        <f>IF(OR(W53="",X53=""),0,IFERROR(INDEX(#REF!,MATCH(W53,#REF!,0))*X53,0))</f>
        <v>0</v>
      </c>
      <c r="Z53" s="7"/>
      <c r="AA53" s="74"/>
      <c r="AB53" s="101">
        <f>IF(OR(Z53="",AA53=""),0,IFERROR(INDEX(#REF!,MATCH(Z53,#REF!,0))*AA53,0))</f>
        <v>0</v>
      </c>
      <c r="AC53" s="7"/>
      <c r="AD53" s="74"/>
      <c r="AE53" s="101">
        <f>IF(OR(AC53="",AD53=""),0,IFERROR(INDEX(#REF!,MATCH(AC53,#REF!,0))*AD53,0))</f>
        <v>0</v>
      </c>
      <c r="AF53" s="7"/>
      <c r="AG53" s="74"/>
      <c r="AH53" s="101">
        <f>IF(OR(AF53="",AG53=""),0,IFERROR(INDEX(#REF!,MATCH(AF53,#REF!,0))*AG53,0))</f>
        <v>0</v>
      </c>
      <c r="AI53" s="7"/>
      <c r="AJ53" s="74"/>
      <c r="AK53" s="101">
        <f>IF(OR(AI53="",AJ53=""),0,IFERROR(INDEX(#REF!,MATCH(AI53,#REF!,0))*AJ53,0))</f>
        <v>0</v>
      </c>
      <c r="AL53" s="101">
        <f t="shared" si="6"/>
        <v>0</v>
      </c>
      <c r="AM53" s="7"/>
      <c r="AN53" s="72"/>
      <c r="AO53" s="99">
        <f>IF(OR(AM53="",AN53=""),0,IFERROR(INDEX(#REF!,MATCH(AM53,#REF!,0))*AN53,0))</f>
        <v>0</v>
      </c>
      <c r="AP53" s="7"/>
      <c r="AQ53" s="74"/>
      <c r="AR53" s="99">
        <f>IF(OR(AP53="",AQ53=""),0,IFERROR(INDEX(#REF!,MATCH(AP53,#REF!,0))*AQ53,0))</f>
        <v>0</v>
      </c>
      <c r="AS53" s="7"/>
      <c r="AT53" s="74"/>
      <c r="AU53" s="99">
        <f>IF(OR(AS53="",AT53=""),0,IFERROR(INDEX(#REF!,MATCH(AS53,#REF!,0))*AT53,0))</f>
        <v>0</v>
      </c>
      <c r="AV53" s="7"/>
      <c r="AW53" s="74"/>
      <c r="AX53" s="99">
        <f>IF(OR(AV53="",AW53=""),0,IFERROR(INDEX(#REF!,MATCH(AV53,#REF!,0))*AW53,0))</f>
        <v>0</v>
      </c>
      <c r="AY53" s="7"/>
      <c r="AZ53" s="77"/>
      <c r="BA53" s="99">
        <f>IF(OR(AY53="",AZ53=""),0,IFERROR(INDEX(#REF!,MATCH(AY53,#REF!,0))*AZ53,0))</f>
        <v>0</v>
      </c>
      <c r="BB53" s="100">
        <f t="shared" si="7"/>
        <v>0</v>
      </c>
      <c r="BC53" s="110" t="str">
        <f t="shared" si="8"/>
        <v/>
      </c>
      <c r="BD53" s="62"/>
    </row>
    <row r="54" spans="1:56" ht="19.5" customHeight="1" x14ac:dyDescent="0.45">
      <c r="A54" s="104" t="str">
        <f t="shared" si="9"/>
        <v/>
      </c>
      <c r="B54" s="5"/>
      <c r="C54" s="109"/>
      <c r="D54" s="107"/>
      <c r="E54" s="6"/>
      <c r="F54" s="85"/>
      <c r="G54" s="85"/>
      <c r="H54" s="104" t="str">
        <f t="shared" si="0"/>
        <v/>
      </c>
      <c r="I54" s="103" t="str">
        <f>IFERROR(INDEX(#REF!,MATCH(E54,#REF!,0)),"")</f>
        <v/>
      </c>
      <c r="J54" s="6"/>
      <c r="K54" s="103" t="str">
        <f t="shared" si="2"/>
        <v/>
      </c>
      <c r="L54" s="8"/>
      <c r="M54" s="102" t="str">
        <f t="shared" si="3"/>
        <v/>
      </c>
      <c r="N54" s="9"/>
      <c r="O54" s="103" t="str">
        <f t="shared" si="4"/>
        <v/>
      </c>
      <c r="P54" s="6"/>
      <c r="Q54" s="7"/>
      <c r="R54" s="10"/>
      <c r="S54" s="29" t="str">
        <f t="shared" ca="1" si="5"/>
        <v/>
      </c>
      <c r="T54" s="7"/>
      <c r="U54" s="74"/>
      <c r="V54" s="101">
        <f>IF(OR(T54="",U54=""),0,IFERROR(INDEX(#REF!,MATCH(T54,#REF!,0))*U54,0))</f>
        <v>0</v>
      </c>
      <c r="W54" s="7"/>
      <c r="X54" s="74"/>
      <c r="Y54" s="101">
        <f>IF(OR(W54="",X54=""),0,IFERROR(INDEX(#REF!,MATCH(W54,#REF!,0))*X54,0))</f>
        <v>0</v>
      </c>
      <c r="Z54" s="7"/>
      <c r="AA54" s="74"/>
      <c r="AB54" s="101">
        <f>IF(OR(Z54="",AA54=""),0,IFERROR(INDEX(#REF!,MATCH(Z54,#REF!,0))*AA54,0))</f>
        <v>0</v>
      </c>
      <c r="AC54" s="7"/>
      <c r="AD54" s="74"/>
      <c r="AE54" s="101">
        <f>IF(OR(AC54="",AD54=""),0,IFERROR(INDEX(#REF!,MATCH(AC54,#REF!,0))*AD54,0))</f>
        <v>0</v>
      </c>
      <c r="AF54" s="7"/>
      <c r="AG54" s="74"/>
      <c r="AH54" s="101">
        <f>IF(OR(AF54="",AG54=""),0,IFERROR(INDEX(#REF!,MATCH(AF54,#REF!,0))*AG54,0))</f>
        <v>0</v>
      </c>
      <c r="AI54" s="7"/>
      <c r="AJ54" s="74"/>
      <c r="AK54" s="101">
        <f>IF(OR(AI54="",AJ54=""),0,IFERROR(INDEX(#REF!,MATCH(AI54,#REF!,0))*AJ54,0))</f>
        <v>0</v>
      </c>
      <c r="AL54" s="101">
        <f t="shared" si="6"/>
        <v>0</v>
      </c>
      <c r="AM54" s="7"/>
      <c r="AN54" s="72"/>
      <c r="AO54" s="99">
        <f>IF(OR(AM54="",AN54=""),0,IFERROR(INDEX(#REF!,MATCH(AM54,#REF!,0))*AN54,0))</f>
        <v>0</v>
      </c>
      <c r="AP54" s="7"/>
      <c r="AQ54" s="74"/>
      <c r="AR54" s="99">
        <f>IF(OR(AP54="",AQ54=""),0,IFERROR(INDEX(#REF!,MATCH(AP54,#REF!,0))*AQ54,0))</f>
        <v>0</v>
      </c>
      <c r="AS54" s="7"/>
      <c r="AT54" s="74"/>
      <c r="AU54" s="99">
        <f>IF(OR(AS54="",AT54=""),0,IFERROR(INDEX(#REF!,MATCH(AS54,#REF!,0))*AT54,0))</f>
        <v>0</v>
      </c>
      <c r="AV54" s="7"/>
      <c r="AW54" s="74"/>
      <c r="AX54" s="99">
        <f>IF(OR(AV54="",AW54=""),0,IFERROR(INDEX(#REF!,MATCH(AV54,#REF!,0))*AW54,0))</f>
        <v>0</v>
      </c>
      <c r="AY54" s="7"/>
      <c r="AZ54" s="77"/>
      <c r="BA54" s="99">
        <f>IF(OR(AY54="",AZ54=""),0,IFERROR(INDEX(#REF!,MATCH(AY54,#REF!,0))*AZ54,0))</f>
        <v>0</v>
      </c>
      <c r="BB54" s="100">
        <f t="shared" si="7"/>
        <v>0</v>
      </c>
      <c r="BC54" s="110" t="str">
        <f t="shared" si="8"/>
        <v/>
      </c>
      <c r="BD54" s="62"/>
    </row>
    <row r="55" spans="1:56" ht="19.5" customHeight="1" x14ac:dyDescent="0.45">
      <c r="A55" s="104" t="str">
        <f t="shared" si="9"/>
        <v/>
      </c>
      <c r="B55" s="5"/>
      <c r="C55" s="109"/>
      <c r="D55" s="107"/>
      <c r="E55" s="6"/>
      <c r="F55" s="85"/>
      <c r="G55" s="85"/>
      <c r="H55" s="104" t="str">
        <f t="shared" si="0"/>
        <v/>
      </c>
      <c r="I55" s="103" t="str">
        <f>IFERROR(INDEX(#REF!,MATCH(E55,#REF!,0)),"")</f>
        <v/>
      </c>
      <c r="J55" s="6"/>
      <c r="K55" s="103" t="str">
        <f t="shared" si="2"/>
        <v/>
      </c>
      <c r="L55" s="8"/>
      <c r="M55" s="102" t="str">
        <f t="shared" si="3"/>
        <v/>
      </c>
      <c r="N55" s="9"/>
      <c r="O55" s="103" t="str">
        <f t="shared" si="4"/>
        <v/>
      </c>
      <c r="P55" s="6"/>
      <c r="Q55" s="7"/>
      <c r="R55" s="10"/>
      <c r="S55" s="29" t="str">
        <f t="shared" ca="1" si="5"/>
        <v/>
      </c>
      <c r="T55" s="7"/>
      <c r="U55" s="74"/>
      <c r="V55" s="101">
        <f>IF(OR(T55="",U55=""),0,IFERROR(INDEX(#REF!,MATCH(T55,#REF!,0))*U55,0))</f>
        <v>0</v>
      </c>
      <c r="W55" s="7"/>
      <c r="X55" s="74"/>
      <c r="Y55" s="101">
        <f>IF(OR(W55="",X55=""),0,IFERROR(INDEX(#REF!,MATCH(W55,#REF!,0))*X55,0))</f>
        <v>0</v>
      </c>
      <c r="Z55" s="7"/>
      <c r="AA55" s="74"/>
      <c r="AB55" s="101">
        <f>IF(OR(Z55="",AA55=""),0,IFERROR(INDEX(#REF!,MATCH(Z55,#REF!,0))*AA55,0))</f>
        <v>0</v>
      </c>
      <c r="AC55" s="7"/>
      <c r="AD55" s="74"/>
      <c r="AE55" s="101">
        <f>IF(OR(AC55="",AD55=""),0,IFERROR(INDEX(#REF!,MATCH(AC55,#REF!,0))*AD55,0))</f>
        <v>0</v>
      </c>
      <c r="AF55" s="7"/>
      <c r="AG55" s="74"/>
      <c r="AH55" s="101">
        <f>IF(OR(AF55="",AG55=""),0,IFERROR(INDEX(#REF!,MATCH(AF55,#REF!,0))*AG55,0))</f>
        <v>0</v>
      </c>
      <c r="AI55" s="7"/>
      <c r="AJ55" s="74"/>
      <c r="AK55" s="101">
        <f>IF(OR(AI55="",AJ55=""),0,IFERROR(INDEX(#REF!,MATCH(AI55,#REF!,0))*AJ55,0))</f>
        <v>0</v>
      </c>
      <c r="AL55" s="101">
        <f t="shared" si="6"/>
        <v>0</v>
      </c>
      <c r="AM55" s="7"/>
      <c r="AN55" s="72"/>
      <c r="AO55" s="99">
        <f>IF(OR(AM55="",AN55=""),0,IFERROR(INDEX(#REF!,MATCH(AM55,#REF!,0))*AN55,0))</f>
        <v>0</v>
      </c>
      <c r="AP55" s="7"/>
      <c r="AQ55" s="74"/>
      <c r="AR55" s="99">
        <f>IF(OR(AP55="",AQ55=""),0,IFERROR(INDEX(#REF!,MATCH(AP55,#REF!,0))*AQ55,0))</f>
        <v>0</v>
      </c>
      <c r="AS55" s="7"/>
      <c r="AT55" s="74"/>
      <c r="AU55" s="99">
        <f>IF(OR(AS55="",AT55=""),0,IFERROR(INDEX(#REF!,MATCH(AS55,#REF!,0))*AT55,0))</f>
        <v>0</v>
      </c>
      <c r="AV55" s="7"/>
      <c r="AW55" s="74"/>
      <c r="AX55" s="99">
        <f>IF(OR(AV55="",AW55=""),0,IFERROR(INDEX(#REF!,MATCH(AV55,#REF!,0))*AW55,0))</f>
        <v>0</v>
      </c>
      <c r="AY55" s="7"/>
      <c r="AZ55" s="77"/>
      <c r="BA55" s="99">
        <f>IF(OR(AY55="",AZ55=""),0,IFERROR(INDEX(#REF!,MATCH(AY55,#REF!,0))*AZ55,0))</f>
        <v>0</v>
      </c>
      <c r="BB55" s="100">
        <f t="shared" si="7"/>
        <v>0</v>
      </c>
      <c r="BC55" s="110" t="str">
        <f t="shared" si="8"/>
        <v/>
      </c>
      <c r="BD55" s="62"/>
    </row>
    <row r="56" spans="1:56" ht="19.5" customHeight="1" x14ac:dyDescent="0.45">
      <c r="A56" s="104" t="str">
        <f t="shared" si="9"/>
        <v/>
      </c>
      <c r="B56" s="5"/>
      <c r="C56" s="109"/>
      <c r="D56" s="107"/>
      <c r="E56" s="6"/>
      <c r="F56" s="85"/>
      <c r="G56" s="85"/>
      <c r="H56" s="104" t="str">
        <f t="shared" si="0"/>
        <v/>
      </c>
      <c r="I56" s="103" t="str">
        <f>IFERROR(INDEX(#REF!,MATCH(E56,#REF!,0)),"")</f>
        <v/>
      </c>
      <c r="J56" s="6"/>
      <c r="K56" s="103" t="str">
        <f t="shared" si="2"/>
        <v/>
      </c>
      <c r="L56" s="8"/>
      <c r="M56" s="102" t="str">
        <f t="shared" si="3"/>
        <v/>
      </c>
      <c r="N56" s="9"/>
      <c r="O56" s="103" t="str">
        <f t="shared" si="4"/>
        <v/>
      </c>
      <c r="P56" s="6"/>
      <c r="Q56" s="7"/>
      <c r="R56" s="10"/>
      <c r="S56" s="29" t="str">
        <f t="shared" ca="1" si="5"/>
        <v/>
      </c>
      <c r="T56" s="7"/>
      <c r="U56" s="74"/>
      <c r="V56" s="101">
        <f>IF(OR(T56="",U56=""),0,IFERROR(INDEX(#REF!,MATCH(T56,#REF!,0))*U56,0))</f>
        <v>0</v>
      </c>
      <c r="W56" s="7"/>
      <c r="X56" s="74"/>
      <c r="Y56" s="101">
        <f>IF(OR(W56="",X56=""),0,IFERROR(INDEX(#REF!,MATCH(W56,#REF!,0))*X56,0))</f>
        <v>0</v>
      </c>
      <c r="Z56" s="7"/>
      <c r="AA56" s="74"/>
      <c r="AB56" s="101">
        <f>IF(OR(Z56="",AA56=""),0,IFERROR(INDEX(#REF!,MATCH(Z56,#REF!,0))*AA56,0))</f>
        <v>0</v>
      </c>
      <c r="AC56" s="7"/>
      <c r="AD56" s="74"/>
      <c r="AE56" s="101">
        <f>IF(OR(AC56="",AD56=""),0,IFERROR(INDEX(#REF!,MATCH(AC56,#REF!,0))*AD56,0))</f>
        <v>0</v>
      </c>
      <c r="AF56" s="7"/>
      <c r="AG56" s="74"/>
      <c r="AH56" s="101">
        <f>IF(OR(AF56="",AG56=""),0,IFERROR(INDEX(#REF!,MATCH(AF56,#REF!,0))*AG56,0))</f>
        <v>0</v>
      </c>
      <c r="AI56" s="7"/>
      <c r="AJ56" s="74"/>
      <c r="AK56" s="101">
        <f>IF(OR(AI56="",AJ56=""),0,IFERROR(INDEX(#REF!,MATCH(AI56,#REF!,0))*AJ56,0))</f>
        <v>0</v>
      </c>
      <c r="AL56" s="101">
        <f t="shared" si="6"/>
        <v>0</v>
      </c>
      <c r="AM56" s="7"/>
      <c r="AN56" s="72"/>
      <c r="AO56" s="99">
        <f>IF(OR(AM56="",AN56=""),0,IFERROR(INDEX(#REF!,MATCH(AM56,#REF!,0))*AN56,0))</f>
        <v>0</v>
      </c>
      <c r="AP56" s="7"/>
      <c r="AQ56" s="74"/>
      <c r="AR56" s="99">
        <f>IF(OR(AP56="",AQ56=""),0,IFERROR(INDEX(#REF!,MATCH(AP56,#REF!,0))*AQ56,0))</f>
        <v>0</v>
      </c>
      <c r="AS56" s="7"/>
      <c r="AT56" s="74"/>
      <c r="AU56" s="99">
        <f>IF(OR(AS56="",AT56=""),0,IFERROR(INDEX(#REF!,MATCH(AS56,#REF!,0))*AT56,0))</f>
        <v>0</v>
      </c>
      <c r="AV56" s="7"/>
      <c r="AW56" s="74"/>
      <c r="AX56" s="99">
        <f>IF(OR(AV56="",AW56=""),0,IFERROR(INDEX(#REF!,MATCH(AV56,#REF!,0))*AW56,0))</f>
        <v>0</v>
      </c>
      <c r="AY56" s="7"/>
      <c r="AZ56" s="77"/>
      <c r="BA56" s="99">
        <f>IF(OR(AY56="",AZ56=""),0,IFERROR(INDEX(#REF!,MATCH(AY56,#REF!,0))*AZ56,0))</f>
        <v>0</v>
      </c>
      <c r="BB56" s="100">
        <f t="shared" si="7"/>
        <v>0</v>
      </c>
      <c r="BC56" s="110" t="str">
        <f t="shared" si="8"/>
        <v/>
      </c>
      <c r="BD56" s="62"/>
    </row>
    <row r="57" spans="1:56" ht="19.5" customHeight="1" x14ac:dyDescent="0.45">
      <c r="A57" s="104" t="str">
        <f t="shared" si="9"/>
        <v/>
      </c>
      <c r="B57" s="5"/>
      <c r="C57" s="109"/>
      <c r="D57" s="107"/>
      <c r="E57" s="6"/>
      <c r="F57" s="85"/>
      <c r="G57" s="85"/>
      <c r="H57" s="104" t="str">
        <f t="shared" si="0"/>
        <v/>
      </c>
      <c r="I57" s="103" t="str">
        <f>IFERROR(INDEX(#REF!,MATCH(E57,#REF!,0)),"")</f>
        <v/>
      </c>
      <c r="J57" s="6"/>
      <c r="K57" s="103" t="str">
        <f t="shared" si="2"/>
        <v/>
      </c>
      <c r="L57" s="8"/>
      <c r="M57" s="102" t="str">
        <f t="shared" si="3"/>
        <v/>
      </c>
      <c r="N57" s="9"/>
      <c r="O57" s="103" t="str">
        <f t="shared" si="4"/>
        <v/>
      </c>
      <c r="P57" s="6"/>
      <c r="Q57" s="7"/>
      <c r="R57" s="10"/>
      <c r="S57" s="29" t="str">
        <f t="shared" ca="1" si="5"/>
        <v/>
      </c>
      <c r="T57" s="7"/>
      <c r="U57" s="74"/>
      <c r="V57" s="101">
        <f>IF(OR(T57="",U57=""),0,IFERROR(INDEX(#REF!,MATCH(T57,#REF!,0))*U57,0))</f>
        <v>0</v>
      </c>
      <c r="W57" s="7"/>
      <c r="X57" s="74"/>
      <c r="Y57" s="101">
        <f>IF(OR(W57="",X57=""),0,IFERROR(INDEX(#REF!,MATCH(W57,#REF!,0))*X57,0))</f>
        <v>0</v>
      </c>
      <c r="Z57" s="7"/>
      <c r="AA57" s="74"/>
      <c r="AB57" s="101">
        <f>IF(OR(Z57="",AA57=""),0,IFERROR(INDEX(#REF!,MATCH(Z57,#REF!,0))*AA57,0))</f>
        <v>0</v>
      </c>
      <c r="AC57" s="7"/>
      <c r="AD57" s="74"/>
      <c r="AE57" s="101">
        <f>IF(OR(AC57="",AD57=""),0,IFERROR(INDEX(#REF!,MATCH(AC57,#REF!,0))*AD57,0))</f>
        <v>0</v>
      </c>
      <c r="AF57" s="7"/>
      <c r="AG57" s="74"/>
      <c r="AH57" s="101">
        <f>IF(OR(AF57="",AG57=""),0,IFERROR(INDEX(#REF!,MATCH(AF57,#REF!,0))*AG57,0))</f>
        <v>0</v>
      </c>
      <c r="AI57" s="7"/>
      <c r="AJ57" s="74"/>
      <c r="AK57" s="101">
        <f>IF(OR(AI57="",AJ57=""),0,IFERROR(INDEX(#REF!,MATCH(AI57,#REF!,0))*AJ57,0))</f>
        <v>0</v>
      </c>
      <c r="AL57" s="101">
        <f t="shared" si="6"/>
        <v>0</v>
      </c>
      <c r="AM57" s="7"/>
      <c r="AN57" s="72"/>
      <c r="AO57" s="99">
        <f>IF(OR(AM57="",AN57=""),0,IFERROR(INDEX(#REF!,MATCH(AM57,#REF!,0))*AN57,0))</f>
        <v>0</v>
      </c>
      <c r="AP57" s="7"/>
      <c r="AQ57" s="74"/>
      <c r="AR57" s="99">
        <f>IF(OR(AP57="",AQ57=""),0,IFERROR(INDEX(#REF!,MATCH(AP57,#REF!,0))*AQ57,0))</f>
        <v>0</v>
      </c>
      <c r="AS57" s="7"/>
      <c r="AT57" s="74"/>
      <c r="AU57" s="99">
        <f>IF(OR(AS57="",AT57=""),0,IFERROR(INDEX(#REF!,MATCH(AS57,#REF!,0))*AT57,0))</f>
        <v>0</v>
      </c>
      <c r="AV57" s="7"/>
      <c r="AW57" s="74"/>
      <c r="AX57" s="99">
        <f>IF(OR(AV57="",AW57=""),0,IFERROR(INDEX(#REF!,MATCH(AV57,#REF!,0))*AW57,0))</f>
        <v>0</v>
      </c>
      <c r="AY57" s="7"/>
      <c r="AZ57" s="77"/>
      <c r="BA57" s="99">
        <f>IF(OR(AY57="",AZ57=""),0,IFERROR(INDEX(#REF!,MATCH(AY57,#REF!,0))*AZ57,0))</f>
        <v>0</v>
      </c>
      <c r="BB57" s="100">
        <f t="shared" si="7"/>
        <v>0</v>
      </c>
      <c r="BC57" s="110" t="str">
        <f t="shared" si="8"/>
        <v/>
      </c>
      <c r="BD57" s="62"/>
    </row>
    <row r="58" spans="1:56" ht="19.5" customHeight="1" x14ac:dyDescent="0.45">
      <c r="A58" s="104" t="str">
        <f t="shared" si="9"/>
        <v/>
      </c>
      <c r="B58" s="5"/>
      <c r="C58" s="109"/>
      <c r="D58" s="107"/>
      <c r="E58" s="6"/>
      <c r="F58" s="85"/>
      <c r="G58" s="85"/>
      <c r="H58" s="104" t="str">
        <f t="shared" si="0"/>
        <v/>
      </c>
      <c r="I58" s="103" t="str">
        <f>IFERROR(INDEX(#REF!,MATCH(E58,#REF!,0)),"")</f>
        <v/>
      </c>
      <c r="J58" s="6"/>
      <c r="K58" s="103" t="str">
        <f t="shared" si="2"/>
        <v/>
      </c>
      <c r="L58" s="8"/>
      <c r="M58" s="102" t="str">
        <f t="shared" si="3"/>
        <v/>
      </c>
      <c r="N58" s="9"/>
      <c r="O58" s="103" t="str">
        <f t="shared" si="4"/>
        <v/>
      </c>
      <c r="P58" s="6"/>
      <c r="Q58" s="7"/>
      <c r="R58" s="10"/>
      <c r="S58" s="29" t="str">
        <f t="shared" ca="1" si="5"/>
        <v/>
      </c>
      <c r="T58" s="7"/>
      <c r="U58" s="74"/>
      <c r="V58" s="101">
        <f>IF(OR(T58="",U58=""),0,IFERROR(INDEX(#REF!,MATCH(T58,#REF!,0))*U58,0))</f>
        <v>0</v>
      </c>
      <c r="W58" s="7"/>
      <c r="X58" s="74"/>
      <c r="Y58" s="101">
        <f>IF(OR(W58="",X58=""),0,IFERROR(INDEX(#REF!,MATCH(W58,#REF!,0))*X58,0))</f>
        <v>0</v>
      </c>
      <c r="Z58" s="7"/>
      <c r="AA58" s="74"/>
      <c r="AB58" s="101">
        <f>IF(OR(Z58="",AA58=""),0,IFERROR(INDEX(#REF!,MATCH(Z58,#REF!,0))*AA58,0))</f>
        <v>0</v>
      </c>
      <c r="AC58" s="7"/>
      <c r="AD58" s="74"/>
      <c r="AE58" s="101">
        <f>IF(OR(AC58="",AD58=""),0,IFERROR(INDEX(#REF!,MATCH(AC58,#REF!,0))*AD58,0))</f>
        <v>0</v>
      </c>
      <c r="AF58" s="7"/>
      <c r="AG58" s="74"/>
      <c r="AH58" s="101">
        <f>IF(OR(AF58="",AG58=""),0,IFERROR(INDEX(#REF!,MATCH(AF58,#REF!,0))*AG58,0))</f>
        <v>0</v>
      </c>
      <c r="AI58" s="7"/>
      <c r="AJ58" s="74"/>
      <c r="AK58" s="101">
        <f>IF(OR(AI58="",AJ58=""),0,IFERROR(INDEX(#REF!,MATCH(AI58,#REF!,0))*AJ58,0))</f>
        <v>0</v>
      </c>
      <c r="AL58" s="101">
        <f t="shared" si="6"/>
        <v>0</v>
      </c>
      <c r="AM58" s="7"/>
      <c r="AN58" s="72"/>
      <c r="AO58" s="99">
        <f>IF(OR(AM58="",AN58=""),0,IFERROR(INDEX(#REF!,MATCH(AM58,#REF!,0))*AN58,0))</f>
        <v>0</v>
      </c>
      <c r="AP58" s="7"/>
      <c r="AQ58" s="74"/>
      <c r="AR58" s="99">
        <f>IF(OR(AP58="",AQ58=""),0,IFERROR(INDEX(#REF!,MATCH(AP58,#REF!,0))*AQ58,0))</f>
        <v>0</v>
      </c>
      <c r="AS58" s="7"/>
      <c r="AT58" s="74"/>
      <c r="AU58" s="99">
        <f>IF(OR(AS58="",AT58=""),0,IFERROR(INDEX(#REF!,MATCH(AS58,#REF!,0))*AT58,0))</f>
        <v>0</v>
      </c>
      <c r="AV58" s="7"/>
      <c r="AW58" s="74"/>
      <c r="AX58" s="99">
        <f>IF(OR(AV58="",AW58=""),0,IFERROR(INDEX(#REF!,MATCH(AV58,#REF!,0))*AW58,0))</f>
        <v>0</v>
      </c>
      <c r="AY58" s="7"/>
      <c r="AZ58" s="77"/>
      <c r="BA58" s="99">
        <f>IF(OR(AY58="",AZ58=""),0,IFERROR(INDEX(#REF!,MATCH(AY58,#REF!,0))*AZ58,0))</f>
        <v>0</v>
      </c>
      <c r="BB58" s="100">
        <f t="shared" si="7"/>
        <v>0</v>
      </c>
      <c r="BC58" s="110" t="str">
        <f t="shared" si="8"/>
        <v/>
      </c>
      <c r="BD58" s="62"/>
    </row>
    <row r="59" spans="1:56" ht="19.5" customHeight="1" x14ac:dyDescent="0.45">
      <c r="A59" s="104" t="str">
        <f t="shared" si="9"/>
        <v/>
      </c>
      <c r="B59" s="5"/>
      <c r="C59" s="109"/>
      <c r="D59" s="107"/>
      <c r="E59" s="6"/>
      <c r="F59" s="85"/>
      <c r="G59" s="85"/>
      <c r="H59" s="104" t="str">
        <f t="shared" si="0"/>
        <v/>
      </c>
      <c r="I59" s="103" t="str">
        <f>IFERROR(INDEX(#REF!,MATCH(E59,#REF!,0)),"")</f>
        <v/>
      </c>
      <c r="J59" s="6"/>
      <c r="K59" s="103" t="str">
        <f t="shared" si="2"/>
        <v/>
      </c>
      <c r="L59" s="8"/>
      <c r="M59" s="102" t="str">
        <f t="shared" si="3"/>
        <v/>
      </c>
      <c r="N59" s="9"/>
      <c r="O59" s="103" t="str">
        <f t="shared" si="4"/>
        <v/>
      </c>
      <c r="P59" s="6"/>
      <c r="Q59" s="7"/>
      <c r="R59" s="10"/>
      <c r="S59" s="29" t="str">
        <f t="shared" ca="1" si="5"/>
        <v/>
      </c>
      <c r="T59" s="7"/>
      <c r="U59" s="74"/>
      <c r="V59" s="101">
        <f>IF(OR(T59="",U59=""),0,IFERROR(INDEX(#REF!,MATCH(T59,#REF!,0))*U59,0))</f>
        <v>0</v>
      </c>
      <c r="W59" s="7"/>
      <c r="X59" s="74"/>
      <c r="Y59" s="101">
        <f>IF(OR(W59="",X59=""),0,IFERROR(INDEX(#REF!,MATCH(W59,#REF!,0))*X59,0))</f>
        <v>0</v>
      </c>
      <c r="Z59" s="7"/>
      <c r="AA59" s="74"/>
      <c r="AB59" s="101">
        <f>IF(OR(Z59="",AA59=""),0,IFERROR(INDEX(#REF!,MATCH(Z59,#REF!,0))*AA59,0))</f>
        <v>0</v>
      </c>
      <c r="AC59" s="7"/>
      <c r="AD59" s="74"/>
      <c r="AE59" s="101">
        <f>IF(OR(AC59="",AD59=""),0,IFERROR(INDEX(#REF!,MATCH(AC59,#REF!,0))*AD59,0))</f>
        <v>0</v>
      </c>
      <c r="AF59" s="7"/>
      <c r="AG59" s="74"/>
      <c r="AH59" s="101">
        <f>IF(OR(AF59="",AG59=""),0,IFERROR(INDEX(#REF!,MATCH(AF59,#REF!,0))*AG59,0))</f>
        <v>0</v>
      </c>
      <c r="AI59" s="7"/>
      <c r="AJ59" s="74"/>
      <c r="AK59" s="101">
        <f>IF(OR(AI59="",AJ59=""),0,IFERROR(INDEX(#REF!,MATCH(AI59,#REF!,0))*AJ59,0))</f>
        <v>0</v>
      </c>
      <c r="AL59" s="101">
        <f t="shared" si="6"/>
        <v>0</v>
      </c>
      <c r="AM59" s="7"/>
      <c r="AN59" s="72"/>
      <c r="AO59" s="99">
        <f>IF(OR(AM59="",AN59=""),0,IFERROR(INDEX(#REF!,MATCH(AM59,#REF!,0))*AN59,0))</f>
        <v>0</v>
      </c>
      <c r="AP59" s="7"/>
      <c r="AQ59" s="74"/>
      <c r="AR59" s="99">
        <f>IF(OR(AP59="",AQ59=""),0,IFERROR(INDEX(#REF!,MATCH(AP59,#REF!,0))*AQ59,0))</f>
        <v>0</v>
      </c>
      <c r="AS59" s="7"/>
      <c r="AT59" s="74"/>
      <c r="AU59" s="99">
        <f>IF(OR(AS59="",AT59=""),0,IFERROR(INDEX(#REF!,MATCH(AS59,#REF!,0))*AT59,0))</f>
        <v>0</v>
      </c>
      <c r="AV59" s="7"/>
      <c r="AW59" s="74"/>
      <c r="AX59" s="99">
        <f>IF(OR(AV59="",AW59=""),0,IFERROR(INDEX(#REF!,MATCH(AV59,#REF!,0))*AW59,0))</f>
        <v>0</v>
      </c>
      <c r="AY59" s="7"/>
      <c r="AZ59" s="77"/>
      <c r="BA59" s="99">
        <f>IF(OR(AY59="",AZ59=""),0,IFERROR(INDEX(#REF!,MATCH(AY59,#REF!,0))*AZ59,0))</f>
        <v>0</v>
      </c>
      <c r="BB59" s="100">
        <f t="shared" si="7"/>
        <v>0</v>
      </c>
      <c r="BC59" s="110" t="str">
        <f t="shared" si="8"/>
        <v/>
      </c>
      <c r="BD59" s="62"/>
    </row>
    <row r="60" spans="1:56" ht="19.5" customHeight="1" x14ac:dyDescent="0.45">
      <c r="A60" s="104" t="str">
        <f t="shared" si="9"/>
        <v/>
      </c>
      <c r="B60" s="5"/>
      <c r="C60" s="109"/>
      <c r="D60" s="107"/>
      <c r="E60" s="6"/>
      <c r="F60" s="85"/>
      <c r="G60" s="85"/>
      <c r="H60" s="104" t="str">
        <f t="shared" si="0"/>
        <v/>
      </c>
      <c r="I60" s="103" t="str">
        <f>IFERROR(INDEX(#REF!,MATCH(E60,#REF!,0)),"")</f>
        <v/>
      </c>
      <c r="J60" s="6"/>
      <c r="K60" s="103" t="str">
        <f t="shared" si="2"/>
        <v/>
      </c>
      <c r="L60" s="8"/>
      <c r="M60" s="102" t="str">
        <f t="shared" si="3"/>
        <v/>
      </c>
      <c r="N60" s="9"/>
      <c r="O60" s="103" t="str">
        <f t="shared" si="4"/>
        <v/>
      </c>
      <c r="P60" s="6"/>
      <c r="Q60" s="7"/>
      <c r="R60" s="10"/>
      <c r="S60" s="29" t="str">
        <f t="shared" ca="1" si="5"/>
        <v/>
      </c>
      <c r="T60" s="7"/>
      <c r="U60" s="74"/>
      <c r="V60" s="101">
        <f>IF(OR(T60="",U60=""),0,IFERROR(INDEX(#REF!,MATCH(T60,#REF!,0))*U60,0))</f>
        <v>0</v>
      </c>
      <c r="W60" s="7"/>
      <c r="X60" s="74"/>
      <c r="Y60" s="101">
        <f>IF(OR(W60="",X60=""),0,IFERROR(INDEX(#REF!,MATCH(W60,#REF!,0))*X60,0))</f>
        <v>0</v>
      </c>
      <c r="Z60" s="7"/>
      <c r="AA60" s="74"/>
      <c r="AB60" s="101">
        <f>IF(OR(Z60="",AA60=""),0,IFERROR(INDEX(#REF!,MATCH(Z60,#REF!,0))*AA60,0))</f>
        <v>0</v>
      </c>
      <c r="AC60" s="7"/>
      <c r="AD60" s="74"/>
      <c r="AE60" s="101">
        <f>IF(OR(AC60="",AD60=""),0,IFERROR(INDEX(#REF!,MATCH(AC60,#REF!,0))*AD60,0))</f>
        <v>0</v>
      </c>
      <c r="AF60" s="7"/>
      <c r="AG60" s="74"/>
      <c r="AH60" s="101">
        <f>IF(OR(AF60="",AG60=""),0,IFERROR(INDEX(#REF!,MATCH(AF60,#REF!,0))*AG60,0))</f>
        <v>0</v>
      </c>
      <c r="AI60" s="7"/>
      <c r="AJ60" s="74"/>
      <c r="AK60" s="101">
        <f>IF(OR(AI60="",AJ60=""),0,IFERROR(INDEX(#REF!,MATCH(AI60,#REF!,0))*AJ60,0))</f>
        <v>0</v>
      </c>
      <c r="AL60" s="101">
        <f t="shared" si="6"/>
        <v>0</v>
      </c>
      <c r="AM60" s="7"/>
      <c r="AN60" s="72"/>
      <c r="AO60" s="99">
        <f>IF(OR(AM60="",AN60=""),0,IFERROR(INDEX(#REF!,MATCH(AM60,#REF!,0))*AN60,0))</f>
        <v>0</v>
      </c>
      <c r="AP60" s="7"/>
      <c r="AQ60" s="74"/>
      <c r="AR60" s="99">
        <f>IF(OR(AP60="",AQ60=""),0,IFERROR(INDEX(#REF!,MATCH(AP60,#REF!,0))*AQ60,0))</f>
        <v>0</v>
      </c>
      <c r="AS60" s="7"/>
      <c r="AT60" s="74"/>
      <c r="AU60" s="99">
        <f>IF(OR(AS60="",AT60=""),0,IFERROR(INDEX(#REF!,MATCH(AS60,#REF!,0))*AT60,0))</f>
        <v>0</v>
      </c>
      <c r="AV60" s="7"/>
      <c r="AW60" s="74"/>
      <c r="AX60" s="99">
        <f>IF(OR(AV60="",AW60=""),0,IFERROR(INDEX(#REF!,MATCH(AV60,#REF!,0))*AW60,0))</f>
        <v>0</v>
      </c>
      <c r="AY60" s="7"/>
      <c r="AZ60" s="77"/>
      <c r="BA60" s="99">
        <f>IF(OR(AY60="",AZ60=""),0,IFERROR(INDEX(#REF!,MATCH(AY60,#REF!,0))*AZ60,0))</f>
        <v>0</v>
      </c>
      <c r="BB60" s="100">
        <f t="shared" si="7"/>
        <v>0</v>
      </c>
      <c r="BC60" s="110" t="str">
        <f t="shared" si="8"/>
        <v/>
      </c>
      <c r="BD60" s="62"/>
    </row>
    <row r="61" spans="1:56" ht="19.5" customHeight="1" x14ac:dyDescent="0.45">
      <c r="A61" s="104" t="str">
        <f t="shared" si="9"/>
        <v/>
      </c>
      <c r="B61" s="5"/>
      <c r="C61" s="109"/>
      <c r="D61" s="107"/>
      <c r="E61" s="6"/>
      <c r="F61" s="85"/>
      <c r="G61" s="85"/>
      <c r="H61" s="104" t="str">
        <f t="shared" si="0"/>
        <v/>
      </c>
      <c r="I61" s="103" t="str">
        <f>IFERROR(INDEX(#REF!,MATCH(E61,#REF!,0)),"")</f>
        <v/>
      </c>
      <c r="J61" s="6"/>
      <c r="K61" s="103" t="str">
        <f t="shared" si="2"/>
        <v/>
      </c>
      <c r="L61" s="8"/>
      <c r="M61" s="102" t="str">
        <f t="shared" si="3"/>
        <v/>
      </c>
      <c r="N61" s="9"/>
      <c r="O61" s="103" t="str">
        <f t="shared" si="4"/>
        <v/>
      </c>
      <c r="P61" s="6"/>
      <c r="Q61" s="7"/>
      <c r="R61" s="10"/>
      <c r="S61" s="29" t="str">
        <f t="shared" ca="1" si="5"/>
        <v/>
      </c>
      <c r="T61" s="7"/>
      <c r="U61" s="74"/>
      <c r="V61" s="101">
        <f>IF(OR(T61="",U61=""),0,IFERROR(INDEX(#REF!,MATCH(T61,#REF!,0))*U61,0))</f>
        <v>0</v>
      </c>
      <c r="W61" s="7"/>
      <c r="X61" s="74"/>
      <c r="Y61" s="101">
        <f>IF(OR(W61="",X61=""),0,IFERROR(INDEX(#REF!,MATCH(W61,#REF!,0))*X61,0))</f>
        <v>0</v>
      </c>
      <c r="Z61" s="7"/>
      <c r="AA61" s="74"/>
      <c r="AB61" s="101">
        <f>IF(OR(Z61="",AA61=""),0,IFERROR(INDEX(#REF!,MATCH(Z61,#REF!,0))*AA61,0))</f>
        <v>0</v>
      </c>
      <c r="AC61" s="7"/>
      <c r="AD61" s="74"/>
      <c r="AE61" s="101">
        <f>IF(OR(AC61="",AD61=""),0,IFERROR(INDEX(#REF!,MATCH(AC61,#REF!,0))*AD61,0))</f>
        <v>0</v>
      </c>
      <c r="AF61" s="7"/>
      <c r="AG61" s="74"/>
      <c r="AH61" s="101">
        <f>IF(OR(AF61="",AG61=""),0,IFERROR(INDEX(#REF!,MATCH(AF61,#REF!,0))*AG61,0))</f>
        <v>0</v>
      </c>
      <c r="AI61" s="7"/>
      <c r="AJ61" s="74"/>
      <c r="AK61" s="101">
        <f>IF(OR(AI61="",AJ61=""),0,IFERROR(INDEX(#REF!,MATCH(AI61,#REF!,0))*AJ61,0))</f>
        <v>0</v>
      </c>
      <c r="AL61" s="101">
        <f t="shared" si="6"/>
        <v>0</v>
      </c>
      <c r="AM61" s="7"/>
      <c r="AN61" s="72"/>
      <c r="AO61" s="99">
        <f>IF(OR(AM61="",AN61=""),0,IFERROR(INDEX(#REF!,MATCH(AM61,#REF!,0))*AN61,0))</f>
        <v>0</v>
      </c>
      <c r="AP61" s="7"/>
      <c r="AQ61" s="74"/>
      <c r="AR61" s="99">
        <f>IF(OR(AP61="",AQ61=""),0,IFERROR(INDEX(#REF!,MATCH(AP61,#REF!,0))*AQ61,0))</f>
        <v>0</v>
      </c>
      <c r="AS61" s="7"/>
      <c r="AT61" s="74"/>
      <c r="AU61" s="99">
        <f>IF(OR(AS61="",AT61=""),0,IFERROR(INDEX(#REF!,MATCH(AS61,#REF!,0))*AT61,0))</f>
        <v>0</v>
      </c>
      <c r="AV61" s="7"/>
      <c r="AW61" s="74"/>
      <c r="AX61" s="99">
        <f>IF(OR(AV61="",AW61=""),0,IFERROR(INDEX(#REF!,MATCH(AV61,#REF!,0))*AW61,0))</f>
        <v>0</v>
      </c>
      <c r="AY61" s="7"/>
      <c r="AZ61" s="77"/>
      <c r="BA61" s="99">
        <f>IF(OR(AY61="",AZ61=""),0,IFERROR(INDEX(#REF!,MATCH(AY61,#REF!,0))*AZ61,0))</f>
        <v>0</v>
      </c>
      <c r="BB61" s="100">
        <f t="shared" si="7"/>
        <v>0</v>
      </c>
      <c r="BC61" s="110" t="str">
        <f t="shared" si="8"/>
        <v/>
      </c>
      <c r="BD61" s="62"/>
    </row>
    <row r="62" spans="1:56" ht="19.5" customHeight="1" x14ac:dyDescent="0.45">
      <c r="A62" s="104" t="str">
        <f t="shared" si="9"/>
        <v/>
      </c>
      <c r="B62" s="5"/>
      <c r="C62" s="109"/>
      <c r="D62" s="107"/>
      <c r="E62" s="6"/>
      <c r="F62" s="85"/>
      <c r="G62" s="85"/>
      <c r="H62" s="104" t="str">
        <f t="shared" si="0"/>
        <v/>
      </c>
      <c r="I62" s="103" t="str">
        <f>IFERROR(INDEX(#REF!,MATCH(E62,#REF!,0)),"")</f>
        <v/>
      </c>
      <c r="J62" s="6"/>
      <c r="K62" s="103" t="str">
        <f t="shared" si="2"/>
        <v/>
      </c>
      <c r="L62" s="8"/>
      <c r="M62" s="102" t="str">
        <f t="shared" si="3"/>
        <v/>
      </c>
      <c r="N62" s="9"/>
      <c r="O62" s="103" t="str">
        <f t="shared" si="4"/>
        <v/>
      </c>
      <c r="P62" s="6"/>
      <c r="Q62" s="7"/>
      <c r="R62" s="10"/>
      <c r="S62" s="29" t="str">
        <f t="shared" ca="1" si="5"/>
        <v/>
      </c>
      <c r="T62" s="7"/>
      <c r="U62" s="74"/>
      <c r="V62" s="101">
        <f>IF(OR(T62="",U62=""),0,IFERROR(INDEX(#REF!,MATCH(T62,#REF!,0))*U62,0))</f>
        <v>0</v>
      </c>
      <c r="W62" s="7"/>
      <c r="X62" s="74"/>
      <c r="Y62" s="101">
        <f>IF(OR(W62="",X62=""),0,IFERROR(INDEX(#REF!,MATCH(W62,#REF!,0))*X62,0))</f>
        <v>0</v>
      </c>
      <c r="Z62" s="7"/>
      <c r="AA62" s="74"/>
      <c r="AB62" s="101">
        <f>IF(OR(Z62="",AA62=""),0,IFERROR(INDEX(#REF!,MATCH(Z62,#REF!,0))*AA62,0))</f>
        <v>0</v>
      </c>
      <c r="AC62" s="7"/>
      <c r="AD62" s="74"/>
      <c r="AE62" s="101">
        <f>IF(OR(AC62="",AD62=""),0,IFERROR(INDEX(#REF!,MATCH(AC62,#REF!,0))*AD62,0))</f>
        <v>0</v>
      </c>
      <c r="AF62" s="7"/>
      <c r="AG62" s="74"/>
      <c r="AH62" s="101">
        <f>IF(OR(AF62="",AG62=""),0,IFERROR(INDEX(#REF!,MATCH(AF62,#REF!,0))*AG62,0))</f>
        <v>0</v>
      </c>
      <c r="AI62" s="7"/>
      <c r="AJ62" s="74"/>
      <c r="AK62" s="101">
        <f>IF(OR(AI62="",AJ62=""),0,IFERROR(INDEX(#REF!,MATCH(AI62,#REF!,0))*AJ62,0))</f>
        <v>0</v>
      </c>
      <c r="AL62" s="101">
        <f t="shared" si="6"/>
        <v>0</v>
      </c>
      <c r="AM62" s="7"/>
      <c r="AN62" s="72"/>
      <c r="AO62" s="99">
        <f>IF(OR(AM62="",AN62=""),0,IFERROR(INDEX(#REF!,MATCH(AM62,#REF!,0))*AN62,0))</f>
        <v>0</v>
      </c>
      <c r="AP62" s="7"/>
      <c r="AQ62" s="74"/>
      <c r="AR62" s="99">
        <f>IF(OR(AP62="",AQ62=""),0,IFERROR(INDEX(#REF!,MATCH(AP62,#REF!,0))*AQ62,0))</f>
        <v>0</v>
      </c>
      <c r="AS62" s="7"/>
      <c r="AT62" s="74"/>
      <c r="AU62" s="99">
        <f>IF(OR(AS62="",AT62=""),0,IFERROR(INDEX(#REF!,MATCH(AS62,#REF!,0))*AT62,0))</f>
        <v>0</v>
      </c>
      <c r="AV62" s="7"/>
      <c r="AW62" s="74"/>
      <c r="AX62" s="99">
        <f>IF(OR(AV62="",AW62=""),0,IFERROR(INDEX(#REF!,MATCH(AV62,#REF!,0))*AW62,0))</f>
        <v>0</v>
      </c>
      <c r="AY62" s="7"/>
      <c r="AZ62" s="77"/>
      <c r="BA62" s="99">
        <f>IF(OR(AY62="",AZ62=""),0,IFERROR(INDEX(#REF!,MATCH(AY62,#REF!,0))*AZ62,0))</f>
        <v>0</v>
      </c>
      <c r="BB62" s="100">
        <f t="shared" si="7"/>
        <v>0</v>
      </c>
      <c r="BC62" s="110" t="str">
        <f t="shared" si="8"/>
        <v/>
      </c>
      <c r="BD62" s="62"/>
    </row>
    <row r="63" spans="1:56" ht="19.5" customHeight="1" x14ac:dyDescent="0.45">
      <c r="A63" s="104" t="str">
        <f t="shared" si="9"/>
        <v/>
      </c>
      <c r="B63" s="5"/>
      <c r="C63" s="109"/>
      <c r="D63" s="107"/>
      <c r="E63" s="6"/>
      <c r="F63" s="85"/>
      <c r="G63" s="85"/>
      <c r="H63" s="104" t="str">
        <f t="shared" si="0"/>
        <v/>
      </c>
      <c r="I63" s="103" t="str">
        <f>IFERROR(INDEX(#REF!,MATCH(E63,#REF!,0)),"")</f>
        <v/>
      </c>
      <c r="J63" s="6"/>
      <c r="K63" s="103" t="str">
        <f t="shared" si="2"/>
        <v/>
      </c>
      <c r="L63" s="8"/>
      <c r="M63" s="102" t="str">
        <f t="shared" si="3"/>
        <v/>
      </c>
      <c r="N63" s="9"/>
      <c r="O63" s="103" t="str">
        <f t="shared" si="4"/>
        <v/>
      </c>
      <c r="P63" s="6"/>
      <c r="Q63" s="7"/>
      <c r="R63" s="10"/>
      <c r="S63" s="29" t="str">
        <f t="shared" ca="1" si="5"/>
        <v/>
      </c>
      <c r="T63" s="7"/>
      <c r="U63" s="74"/>
      <c r="V63" s="101">
        <f>IF(OR(T63="",U63=""),0,IFERROR(INDEX(#REF!,MATCH(T63,#REF!,0))*U63,0))</f>
        <v>0</v>
      </c>
      <c r="W63" s="7"/>
      <c r="X63" s="74"/>
      <c r="Y63" s="101">
        <f>IF(OR(W63="",X63=""),0,IFERROR(INDEX(#REF!,MATCH(W63,#REF!,0))*X63,0))</f>
        <v>0</v>
      </c>
      <c r="Z63" s="7"/>
      <c r="AA63" s="74"/>
      <c r="AB63" s="101">
        <f>IF(OR(Z63="",AA63=""),0,IFERROR(INDEX(#REF!,MATCH(Z63,#REF!,0))*AA63,0))</f>
        <v>0</v>
      </c>
      <c r="AC63" s="7"/>
      <c r="AD63" s="74"/>
      <c r="AE63" s="101">
        <f>IF(OR(AC63="",AD63=""),0,IFERROR(INDEX(#REF!,MATCH(AC63,#REF!,0))*AD63,0))</f>
        <v>0</v>
      </c>
      <c r="AF63" s="7"/>
      <c r="AG63" s="74"/>
      <c r="AH63" s="101">
        <f>IF(OR(AF63="",AG63=""),0,IFERROR(INDEX(#REF!,MATCH(AF63,#REF!,0))*AG63,0))</f>
        <v>0</v>
      </c>
      <c r="AI63" s="7"/>
      <c r="AJ63" s="74"/>
      <c r="AK63" s="101">
        <f>IF(OR(AI63="",AJ63=""),0,IFERROR(INDEX(#REF!,MATCH(AI63,#REF!,0))*AJ63,0))</f>
        <v>0</v>
      </c>
      <c r="AL63" s="101">
        <f t="shared" si="6"/>
        <v>0</v>
      </c>
      <c r="AM63" s="7"/>
      <c r="AN63" s="72"/>
      <c r="AO63" s="99">
        <f>IF(OR(AM63="",AN63=""),0,IFERROR(INDEX(#REF!,MATCH(AM63,#REF!,0))*AN63,0))</f>
        <v>0</v>
      </c>
      <c r="AP63" s="7"/>
      <c r="AQ63" s="74"/>
      <c r="AR63" s="99">
        <f>IF(OR(AP63="",AQ63=""),0,IFERROR(INDEX(#REF!,MATCH(AP63,#REF!,0))*AQ63,0))</f>
        <v>0</v>
      </c>
      <c r="AS63" s="7"/>
      <c r="AT63" s="74"/>
      <c r="AU63" s="99">
        <f>IF(OR(AS63="",AT63=""),0,IFERROR(INDEX(#REF!,MATCH(AS63,#REF!,0))*AT63,0))</f>
        <v>0</v>
      </c>
      <c r="AV63" s="7"/>
      <c r="AW63" s="74"/>
      <c r="AX63" s="99">
        <f>IF(OR(AV63="",AW63=""),0,IFERROR(INDEX(#REF!,MATCH(AV63,#REF!,0))*AW63,0))</f>
        <v>0</v>
      </c>
      <c r="AY63" s="7"/>
      <c r="AZ63" s="77"/>
      <c r="BA63" s="99">
        <f>IF(OR(AY63="",AZ63=""),0,IFERROR(INDEX(#REF!,MATCH(AY63,#REF!,0))*AZ63,0))</f>
        <v>0</v>
      </c>
      <c r="BB63" s="100">
        <f t="shared" si="7"/>
        <v>0</v>
      </c>
      <c r="BC63" s="110" t="str">
        <f t="shared" si="8"/>
        <v/>
      </c>
      <c r="BD63" s="62"/>
    </row>
    <row r="64" spans="1:56" ht="19.5" customHeight="1" x14ac:dyDescent="0.45">
      <c r="A64" s="104" t="str">
        <f t="shared" si="9"/>
        <v/>
      </c>
      <c r="B64" s="5"/>
      <c r="C64" s="109"/>
      <c r="D64" s="107"/>
      <c r="E64" s="6"/>
      <c r="F64" s="85"/>
      <c r="G64" s="85"/>
      <c r="H64" s="104" t="str">
        <f t="shared" si="0"/>
        <v/>
      </c>
      <c r="I64" s="103" t="str">
        <f>IFERROR(INDEX(#REF!,MATCH(E64,#REF!,0)),"")</f>
        <v/>
      </c>
      <c r="J64" s="6"/>
      <c r="K64" s="103" t="str">
        <f t="shared" si="2"/>
        <v/>
      </c>
      <c r="L64" s="8"/>
      <c r="M64" s="102" t="str">
        <f t="shared" si="3"/>
        <v/>
      </c>
      <c r="N64" s="9"/>
      <c r="O64" s="103" t="str">
        <f t="shared" si="4"/>
        <v/>
      </c>
      <c r="P64" s="6"/>
      <c r="Q64" s="7"/>
      <c r="R64" s="10"/>
      <c r="S64" s="29" t="str">
        <f t="shared" ca="1" si="5"/>
        <v/>
      </c>
      <c r="T64" s="7"/>
      <c r="U64" s="74"/>
      <c r="V64" s="101">
        <f>IF(OR(T64="",U64=""),0,IFERROR(INDEX(#REF!,MATCH(T64,#REF!,0))*U64,0))</f>
        <v>0</v>
      </c>
      <c r="W64" s="7"/>
      <c r="X64" s="74"/>
      <c r="Y64" s="101">
        <f>IF(OR(W64="",X64=""),0,IFERROR(INDEX(#REF!,MATCH(W64,#REF!,0))*X64,0))</f>
        <v>0</v>
      </c>
      <c r="Z64" s="7"/>
      <c r="AA64" s="74"/>
      <c r="AB64" s="101">
        <f>IF(OR(Z64="",AA64=""),0,IFERROR(INDEX(#REF!,MATCH(Z64,#REF!,0))*AA64,0))</f>
        <v>0</v>
      </c>
      <c r="AC64" s="7"/>
      <c r="AD64" s="74"/>
      <c r="AE64" s="101">
        <f>IF(OR(AC64="",AD64=""),0,IFERROR(INDEX(#REF!,MATCH(AC64,#REF!,0))*AD64,0))</f>
        <v>0</v>
      </c>
      <c r="AF64" s="7"/>
      <c r="AG64" s="74"/>
      <c r="AH64" s="101">
        <f>IF(OR(AF64="",AG64=""),0,IFERROR(INDEX(#REF!,MATCH(AF64,#REF!,0))*AG64,0))</f>
        <v>0</v>
      </c>
      <c r="AI64" s="7"/>
      <c r="AJ64" s="74"/>
      <c r="AK64" s="101">
        <f>IF(OR(AI64="",AJ64=""),0,IFERROR(INDEX(#REF!,MATCH(AI64,#REF!,0))*AJ64,0))</f>
        <v>0</v>
      </c>
      <c r="AL64" s="101">
        <f t="shared" si="6"/>
        <v>0</v>
      </c>
      <c r="AM64" s="7"/>
      <c r="AN64" s="72"/>
      <c r="AO64" s="99">
        <f>IF(OR(AM64="",AN64=""),0,IFERROR(INDEX(#REF!,MATCH(AM64,#REF!,0))*AN64,0))</f>
        <v>0</v>
      </c>
      <c r="AP64" s="7"/>
      <c r="AQ64" s="74"/>
      <c r="AR64" s="99">
        <f>IF(OR(AP64="",AQ64=""),0,IFERROR(INDEX(#REF!,MATCH(AP64,#REF!,0))*AQ64,0))</f>
        <v>0</v>
      </c>
      <c r="AS64" s="7"/>
      <c r="AT64" s="74"/>
      <c r="AU64" s="99">
        <f>IF(OR(AS64="",AT64=""),0,IFERROR(INDEX(#REF!,MATCH(AS64,#REF!,0))*AT64,0))</f>
        <v>0</v>
      </c>
      <c r="AV64" s="7"/>
      <c r="AW64" s="74"/>
      <c r="AX64" s="99">
        <f>IF(OR(AV64="",AW64=""),0,IFERROR(INDEX(#REF!,MATCH(AV64,#REF!,0))*AW64,0))</f>
        <v>0</v>
      </c>
      <c r="AY64" s="7"/>
      <c r="AZ64" s="77"/>
      <c r="BA64" s="99">
        <f>IF(OR(AY64="",AZ64=""),0,IFERROR(INDEX(#REF!,MATCH(AY64,#REF!,0))*AZ64,0))</f>
        <v>0</v>
      </c>
      <c r="BB64" s="100">
        <f t="shared" si="7"/>
        <v>0</v>
      </c>
      <c r="BC64" s="110" t="str">
        <f t="shared" si="8"/>
        <v/>
      </c>
      <c r="BD64" s="62"/>
    </row>
    <row r="65" spans="1:56" ht="19.5" customHeight="1" x14ac:dyDescent="0.45">
      <c r="A65" s="104" t="str">
        <f t="shared" si="9"/>
        <v/>
      </c>
      <c r="B65" s="5"/>
      <c r="C65" s="109"/>
      <c r="D65" s="107"/>
      <c r="E65" s="6"/>
      <c r="F65" s="85"/>
      <c r="G65" s="85"/>
      <c r="H65" s="104" t="str">
        <f t="shared" si="0"/>
        <v/>
      </c>
      <c r="I65" s="103" t="str">
        <f>IFERROR(INDEX(#REF!,MATCH(E65,#REF!,0)),"")</f>
        <v/>
      </c>
      <c r="J65" s="6"/>
      <c r="K65" s="103" t="str">
        <f t="shared" si="2"/>
        <v/>
      </c>
      <c r="L65" s="8"/>
      <c r="M65" s="102" t="str">
        <f t="shared" si="3"/>
        <v/>
      </c>
      <c r="N65" s="9"/>
      <c r="O65" s="103" t="str">
        <f t="shared" si="4"/>
        <v/>
      </c>
      <c r="P65" s="6"/>
      <c r="Q65" s="7"/>
      <c r="R65" s="10"/>
      <c r="S65" s="29" t="str">
        <f t="shared" ca="1" si="5"/>
        <v/>
      </c>
      <c r="T65" s="7"/>
      <c r="U65" s="74"/>
      <c r="V65" s="101">
        <f>IF(OR(T65="",U65=""),0,IFERROR(INDEX(#REF!,MATCH(T65,#REF!,0))*U65,0))</f>
        <v>0</v>
      </c>
      <c r="W65" s="7"/>
      <c r="X65" s="74"/>
      <c r="Y65" s="101">
        <f>IF(OR(W65="",X65=""),0,IFERROR(INDEX(#REF!,MATCH(W65,#REF!,0))*X65,0))</f>
        <v>0</v>
      </c>
      <c r="Z65" s="7"/>
      <c r="AA65" s="74"/>
      <c r="AB65" s="101">
        <f>IF(OR(Z65="",AA65=""),0,IFERROR(INDEX(#REF!,MATCH(Z65,#REF!,0))*AA65,0))</f>
        <v>0</v>
      </c>
      <c r="AC65" s="7"/>
      <c r="AD65" s="74"/>
      <c r="AE65" s="101">
        <f>IF(OR(AC65="",AD65=""),0,IFERROR(INDEX(#REF!,MATCH(AC65,#REF!,0))*AD65,0))</f>
        <v>0</v>
      </c>
      <c r="AF65" s="7"/>
      <c r="AG65" s="74"/>
      <c r="AH65" s="101">
        <f>IF(OR(AF65="",AG65=""),0,IFERROR(INDEX(#REF!,MATCH(AF65,#REF!,0))*AG65,0))</f>
        <v>0</v>
      </c>
      <c r="AI65" s="7"/>
      <c r="AJ65" s="74"/>
      <c r="AK65" s="101">
        <f>IF(OR(AI65="",AJ65=""),0,IFERROR(INDEX(#REF!,MATCH(AI65,#REF!,0))*AJ65,0))</f>
        <v>0</v>
      </c>
      <c r="AL65" s="101">
        <f t="shared" si="6"/>
        <v>0</v>
      </c>
      <c r="AM65" s="7"/>
      <c r="AN65" s="72"/>
      <c r="AO65" s="99">
        <f>IF(OR(AM65="",AN65=""),0,IFERROR(INDEX(#REF!,MATCH(AM65,#REF!,0))*AN65,0))</f>
        <v>0</v>
      </c>
      <c r="AP65" s="7"/>
      <c r="AQ65" s="74"/>
      <c r="AR65" s="99">
        <f>IF(OR(AP65="",AQ65=""),0,IFERROR(INDEX(#REF!,MATCH(AP65,#REF!,0))*AQ65,0))</f>
        <v>0</v>
      </c>
      <c r="AS65" s="7"/>
      <c r="AT65" s="74"/>
      <c r="AU65" s="99">
        <f>IF(OR(AS65="",AT65=""),0,IFERROR(INDEX(#REF!,MATCH(AS65,#REF!,0))*AT65,0))</f>
        <v>0</v>
      </c>
      <c r="AV65" s="7"/>
      <c r="AW65" s="74"/>
      <c r="AX65" s="99">
        <f>IF(OR(AV65="",AW65=""),0,IFERROR(INDEX(#REF!,MATCH(AV65,#REF!,0))*AW65,0))</f>
        <v>0</v>
      </c>
      <c r="AY65" s="7"/>
      <c r="AZ65" s="77"/>
      <c r="BA65" s="99">
        <f>IF(OR(AY65="",AZ65=""),0,IFERROR(INDEX(#REF!,MATCH(AY65,#REF!,0))*AZ65,0))</f>
        <v>0</v>
      </c>
      <c r="BB65" s="100">
        <f t="shared" si="7"/>
        <v>0</v>
      </c>
      <c r="BC65" s="110" t="str">
        <f t="shared" si="8"/>
        <v/>
      </c>
      <c r="BD65" s="62"/>
    </row>
    <row r="66" spans="1:56" ht="19.5" customHeight="1" x14ac:dyDescent="0.45">
      <c r="A66" s="104" t="str">
        <f t="shared" si="9"/>
        <v/>
      </c>
      <c r="B66" s="5"/>
      <c r="C66" s="109"/>
      <c r="D66" s="107"/>
      <c r="E66" s="6"/>
      <c r="F66" s="85"/>
      <c r="G66" s="85"/>
      <c r="H66" s="104" t="str">
        <f t="shared" si="0"/>
        <v/>
      </c>
      <c r="I66" s="103" t="str">
        <f>IFERROR(INDEX(#REF!,MATCH(E66,#REF!,0)),"")</f>
        <v/>
      </c>
      <c r="J66" s="6"/>
      <c r="K66" s="103" t="str">
        <f t="shared" si="2"/>
        <v/>
      </c>
      <c r="L66" s="8"/>
      <c r="M66" s="102" t="str">
        <f t="shared" si="3"/>
        <v/>
      </c>
      <c r="N66" s="9"/>
      <c r="O66" s="103" t="str">
        <f t="shared" si="4"/>
        <v/>
      </c>
      <c r="P66" s="6"/>
      <c r="Q66" s="7"/>
      <c r="R66" s="10"/>
      <c r="S66" s="29" t="str">
        <f t="shared" ca="1" si="5"/>
        <v/>
      </c>
      <c r="T66" s="7"/>
      <c r="U66" s="74"/>
      <c r="V66" s="101">
        <f>IF(OR(T66="",U66=""),0,IFERROR(INDEX(#REF!,MATCH(T66,#REF!,0))*U66,0))</f>
        <v>0</v>
      </c>
      <c r="W66" s="7"/>
      <c r="X66" s="74"/>
      <c r="Y66" s="101">
        <f>IF(OR(W66="",X66=""),0,IFERROR(INDEX(#REF!,MATCH(W66,#REF!,0))*X66,0))</f>
        <v>0</v>
      </c>
      <c r="Z66" s="7"/>
      <c r="AA66" s="74"/>
      <c r="AB66" s="101">
        <f>IF(OR(Z66="",AA66=""),0,IFERROR(INDEX(#REF!,MATCH(Z66,#REF!,0))*AA66,0))</f>
        <v>0</v>
      </c>
      <c r="AC66" s="7"/>
      <c r="AD66" s="74"/>
      <c r="AE66" s="101">
        <f>IF(OR(AC66="",AD66=""),0,IFERROR(INDEX(#REF!,MATCH(AC66,#REF!,0))*AD66,0))</f>
        <v>0</v>
      </c>
      <c r="AF66" s="7"/>
      <c r="AG66" s="74"/>
      <c r="AH66" s="101">
        <f>IF(OR(AF66="",AG66=""),0,IFERROR(INDEX(#REF!,MATCH(AF66,#REF!,0))*AG66,0))</f>
        <v>0</v>
      </c>
      <c r="AI66" s="7"/>
      <c r="AJ66" s="74"/>
      <c r="AK66" s="101">
        <f>IF(OR(AI66="",AJ66=""),0,IFERROR(INDEX(#REF!,MATCH(AI66,#REF!,0))*AJ66,0))</f>
        <v>0</v>
      </c>
      <c r="AL66" s="101">
        <f t="shared" si="6"/>
        <v>0</v>
      </c>
      <c r="AM66" s="7"/>
      <c r="AN66" s="72"/>
      <c r="AO66" s="99">
        <f>IF(OR(AM66="",AN66=""),0,IFERROR(INDEX(#REF!,MATCH(AM66,#REF!,0))*AN66,0))</f>
        <v>0</v>
      </c>
      <c r="AP66" s="7"/>
      <c r="AQ66" s="74"/>
      <c r="AR66" s="99">
        <f>IF(OR(AP66="",AQ66=""),0,IFERROR(INDEX(#REF!,MATCH(AP66,#REF!,0))*AQ66,0))</f>
        <v>0</v>
      </c>
      <c r="AS66" s="7"/>
      <c r="AT66" s="74"/>
      <c r="AU66" s="99">
        <f>IF(OR(AS66="",AT66=""),0,IFERROR(INDEX(#REF!,MATCH(AS66,#REF!,0))*AT66,0))</f>
        <v>0</v>
      </c>
      <c r="AV66" s="7"/>
      <c r="AW66" s="74"/>
      <c r="AX66" s="99">
        <f>IF(OR(AV66="",AW66=""),0,IFERROR(INDEX(#REF!,MATCH(AV66,#REF!,0))*AW66,0))</f>
        <v>0</v>
      </c>
      <c r="AY66" s="7"/>
      <c r="AZ66" s="77"/>
      <c r="BA66" s="99">
        <f>IF(OR(AY66="",AZ66=""),0,IFERROR(INDEX(#REF!,MATCH(AY66,#REF!,0))*AZ66,0))</f>
        <v>0</v>
      </c>
      <c r="BB66" s="100">
        <f t="shared" si="7"/>
        <v>0</v>
      </c>
      <c r="BC66" s="110" t="str">
        <f t="shared" si="8"/>
        <v/>
      </c>
      <c r="BD66" s="62"/>
    </row>
    <row r="67" spans="1:56" ht="19.5" customHeight="1" x14ac:dyDescent="0.45">
      <c r="A67" s="104" t="str">
        <f t="shared" si="9"/>
        <v/>
      </c>
      <c r="B67" s="5"/>
      <c r="C67" s="109"/>
      <c r="D67" s="107"/>
      <c r="E67" s="6"/>
      <c r="F67" s="85"/>
      <c r="G67" s="85"/>
      <c r="H67" s="104" t="str">
        <f t="shared" si="0"/>
        <v/>
      </c>
      <c r="I67" s="103" t="str">
        <f>IFERROR(INDEX(#REF!,MATCH(E67,#REF!,0)),"")</f>
        <v/>
      </c>
      <c r="J67" s="6"/>
      <c r="K67" s="103" t="str">
        <f t="shared" si="2"/>
        <v/>
      </c>
      <c r="L67" s="8"/>
      <c r="M67" s="102" t="str">
        <f t="shared" si="3"/>
        <v/>
      </c>
      <c r="N67" s="9"/>
      <c r="O67" s="103" t="str">
        <f t="shared" si="4"/>
        <v/>
      </c>
      <c r="P67" s="6"/>
      <c r="Q67" s="7"/>
      <c r="R67" s="10"/>
      <c r="S67" s="29" t="str">
        <f t="shared" ca="1" si="5"/>
        <v/>
      </c>
      <c r="T67" s="7"/>
      <c r="U67" s="74"/>
      <c r="V67" s="101">
        <f>IF(OR(T67="",U67=""),0,IFERROR(INDEX(#REF!,MATCH(T67,#REF!,0))*U67,0))</f>
        <v>0</v>
      </c>
      <c r="W67" s="7"/>
      <c r="X67" s="74"/>
      <c r="Y67" s="101">
        <f>IF(OR(W67="",X67=""),0,IFERROR(INDEX(#REF!,MATCH(W67,#REF!,0))*X67,0))</f>
        <v>0</v>
      </c>
      <c r="Z67" s="7"/>
      <c r="AA67" s="74"/>
      <c r="AB67" s="101">
        <f>IF(OR(Z67="",AA67=""),0,IFERROR(INDEX(#REF!,MATCH(Z67,#REF!,0))*AA67,0))</f>
        <v>0</v>
      </c>
      <c r="AC67" s="7"/>
      <c r="AD67" s="74"/>
      <c r="AE67" s="101">
        <f>IF(OR(AC67="",AD67=""),0,IFERROR(INDEX(#REF!,MATCH(AC67,#REF!,0))*AD67,0))</f>
        <v>0</v>
      </c>
      <c r="AF67" s="7"/>
      <c r="AG67" s="74"/>
      <c r="AH67" s="101">
        <f>IF(OR(AF67="",AG67=""),0,IFERROR(INDEX(#REF!,MATCH(AF67,#REF!,0))*AG67,0))</f>
        <v>0</v>
      </c>
      <c r="AI67" s="7"/>
      <c r="AJ67" s="74"/>
      <c r="AK67" s="101">
        <f>IF(OR(AI67="",AJ67=""),0,IFERROR(INDEX(#REF!,MATCH(AI67,#REF!,0))*AJ67,0))</f>
        <v>0</v>
      </c>
      <c r="AL67" s="101">
        <f t="shared" si="6"/>
        <v>0</v>
      </c>
      <c r="AM67" s="7"/>
      <c r="AN67" s="72"/>
      <c r="AO67" s="99">
        <f>IF(OR(AM67="",AN67=""),0,IFERROR(INDEX(#REF!,MATCH(AM67,#REF!,0))*AN67,0))</f>
        <v>0</v>
      </c>
      <c r="AP67" s="7"/>
      <c r="AQ67" s="74"/>
      <c r="AR67" s="99">
        <f>IF(OR(AP67="",AQ67=""),0,IFERROR(INDEX(#REF!,MATCH(AP67,#REF!,0))*AQ67,0))</f>
        <v>0</v>
      </c>
      <c r="AS67" s="7"/>
      <c r="AT67" s="74"/>
      <c r="AU67" s="99">
        <f>IF(OR(AS67="",AT67=""),0,IFERROR(INDEX(#REF!,MATCH(AS67,#REF!,0))*AT67,0))</f>
        <v>0</v>
      </c>
      <c r="AV67" s="7"/>
      <c r="AW67" s="74"/>
      <c r="AX67" s="99">
        <f>IF(OR(AV67="",AW67=""),0,IFERROR(INDEX(#REF!,MATCH(AV67,#REF!,0))*AW67,0))</f>
        <v>0</v>
      </c>
      <c r="AY67" s="7"/>
      <c r="AZ67" s="77"/>
      <c r="BA67" s="99">
        <f>IF(OR(AY67="",AZ67=""),0,IFERROR(INDEX(#REF!,MATCH(AY67,#REF!,0))*AZ67,0))</f>
        <v>0</v>
      </c>
      <c r="BB67" s="100">
        <f t="shared" si="7"/>
        <v>0</v>
      </c>
      <c r="BC67" s="110" t="str">
        <f t="shared" si="8"/>
        <v/>
      </c>
      <c r="BD67" s="62"/>
    </row>
    <row r="68" spans="1:56" ht="19.5" customHeight="1" x14ac:dyDescent="0.45">
      <c r="A68" s="104" t="str">
        <f t="shared" si="9"/>
        <v/>
      </c>
      <c r="B68" s="5"/>
      <c r="C68" s="109"/>
      <c r="D68" s="107"/>
      <c r="E68" s="6"/>
      <c r="F68" s="85"/>
      <c r="G68" s="85"/>
      <c r="H68" s="104" t="str">
        <f t="shared" si="0"/>
        <v/>
      </c>
      <c r="I68" s="103" t="str">
        <f>IFERROR(INDEX(#REF!,MATCH(E68,#REF!,0)),"")</f>
        <v/>
      </c>
      <c r="J68" s="6"/>
      <c r="K68" s="103" t="str">
        <f t="shared" si="2"/>
        <v/>
      </c>
      <c r="L68" s="8"/>
      <c r="M68" s="102" t="str">
        <f t="shared" si="3"/>
        <v/>
      </c>
      <c r="N68" s="9"/>
      <c r="O68" s="103" t="str">
        <f t="shared" si="4"/>
        <v/>
      </c>
      <c r="P68" s="6"/>
      <c r="Q68" s="7"/>
      <c r="R68" s="10"/>
      <c r="S68" s="29" t="str">
        <f t="shared" ca="1" si="5"/>
        <v/>
      </c>
      <c r="T68" s="7"/>
      <c r="U68" s="74"/>
      <c r="V68" s="101">
        <f>IF(OR(T68="",U68=""),0,IFERROR(INDEX(#REF!,MATCH(T68,#REF!,0))*U68,0))</f>
        <v>0</v>
      </c>
      <c r="W68" s="7"/>
      <c r="X68" s="74"/>
      <c r="Y68" s="101">
        <f>IF(OR(W68="",X68=""),0,IFERROR(INDEX(#REF!,MATCH(W68,#REF!,0))*X68,0))</f>
        <v>0</v>
      </c>
      <c r="Z68" s="7"/>
      <c r="AA68" s="74"/>
      <c r="AB68" s="101">
        <f>IF(OR(Z68="",AA68=""),0,IFERROR(INDEX(#REF!,MATCH(Z68,#REF!,0))*AA68,0))</f>
        <v>0</v>
      </c>
      <c r="AC68" s="7"/>
      <c r="AD68" s="74"/>
      <c r="AE68" s="101">
        <f>IF(OR(AC68="",AD68=""),0,IFERROR(INDEX(#REF!,MATCH(AC68,#REF!,0))*AD68,0))</f>
        <v>0</v>
      </c>
      <c r="AF68" s="7"/>
      <c r="AG68" s="74"/>
      <c r="AH68" s="101">
        <f>IF(OR(AF68="",AG68=""),0,IFERROR(INDEX(#REF!,MATCH(AF68,#REF!,0))*AG68,0))</f>
        <v>0</v>
      </c>
      <c r="AI68" s="7"/>
      <c r="AJ68" s="74"/>
      <c r="AK68" s="101">
        <f>IF(OR(AI68="",AJ68=""),0,IFERROR(INDEX(#REF!,MATCH(AI68,#REF!,0))*AJ68,0))</f>
        <v>0</v>
      </c>
      <c r="AL68" s="101">
        <f t="shared" si="6"/>
        <v>0</v>
      </c>
      <c r="AM68" s="7"/>
      <c r="AN68" s="72"/>
      <c r="AO68" s="99">
        <f>IF(OR(AM68="",AN68=""),0,IFERROR(INDEX(#REF!,MATCH(AM68,#REF!,0))*AN68,0))</f>
        <v>0</v>
      </c>
      <c r="AP68" s="7"/>
      <c r="AQ68" s="74"/>
      <c r="AR68" s="99">
        <f>IF(OR(AP68="",AQ68=""),0,IFERROR(INDEX(#REF!,MATCH(AP68,#REF!,0))*AQ68,0))</f>
        <v>0</v>
      </c>
      <c r="AS68" s="7"/>
      <c r="AT68" s="74"/>
      <c r="AU68" s="99">
        <f>IF(OR(AS68="",AT68=""),0,IFERROR(INDEX(#REF!,MATCH(AS68,#REF!,0))*AT68,0))</f>
        <v>0</v>
      </c>
      <c r="AV68" s="7"/>
      <c r="AW68" s="74"/>
      <c r="AX68" s="99">
        <f>IF(OR(AV68="",AW68=""),0,IFERROR(INDEX(#REF!,MATCH(AV68,#REF!,0))*AW68,0))</f>
        <v>0</v>
      </c>
      <c r="AY68" s="7"/>
      <c r="AZ68" s="77"/>
      <c r="BA68" s="99">
        <f>IF(OR(AY68="",AZ68=""),0,IFERROR(INDEX(#REF!,MATCH(AY68,#REF!,0))*AZ68,0))</f>
        <v>0</v>
      </c>
      <c r="BB68" s="100">
        <f t="shared" si="7"/>
        <v>0</v>
      </c>
      <c r="BC68" s="110" t="str">
        <f t="shared" si="8"/>
        <v/>
      </c>
      <c r="BD68" s="62"/>
    </row>
    <row r="69" spans="1:56" ht="19.5" customHeight="1" x14ac:dyDescent="0.45">
      <c r="A69" s="104" t="str">
        <f t="shared" si="9"/>
        <v/>
      </c>
      <c r="B69" s="5"/>
      <c r="C69" s="109"/>
      <c r="D69" s="107"/>
      <c r="E69" s="6"/>
      <c r="F69" s="85"/>
      <c r="G69" s="85"/>
      <c r="H69" s="104" t="str">
        <f t="shared" ref="H69:H132" si="10">IF(AND(F69&lt;&gt;"",G69&lt;&gt;""),G69-F69,"")</f>
        <v/>
      </c>
      <c r="I69" s="103" t="str">
        <f>IFERROR(INDEX(#REF!,MATCH(E69,#REF!,0)),"")</f>
        <v/>
      </c>
      <c r="J69" s="6"/>
      <c r="K69" s="103" t="str">
        <f t="shared" ref="K69:K132" si="11">IF(AND(ISNUMBER(H69),ISNUMBER(I69)),H69*I69,"")</f>
        <v/>
      </c>
      <c r="L69" s="8"/>
      <c r="M69" s="102" t="str">
        <f t="shared" ref="M69:M132" si="12">IF(ISNUMBER(K69),K69*(1-L69),"")</f>
        <v/>
      </c>
      <c r="N69" s="9"/>
      <c r="O69" s="103" t="str">
        <f t="shared" ref="O69:O132" si="13">IF(ISNUMBER(M69),M69-N69,"")</f>
        <v/>
      </c>
      <c r="P69" s="6"/>
      <c r="Q69" s="7"/>
      <c r="R69" s="10"/>
      <c r="S69" s="29" t="str">
        <f t="shared" ca="1" si="5"/>
        <v/>
      </c>
      <c r="T69" s="7"/>
      <c r="U69" s="74"/>
      <c r="V69" s="101">
        <f>IF(OR(T69="",U69=""),0,IFERROR(INDEX(#REF!,MATCH(T69,#REF!,0))*U69,0))</f>
        <v>0</v>
      </c>
      <c r="W69" s="7"/>
      <c r="X69" s="74"/>
      <c r="Y69" s="101">
        <f>IF(OR(W69="",X69=""),0,IFERROR(INDEX(#REF!,MATCH(W69,#REF!,0))*X69,0))</f>
        <v>0</v>
      </c>
      <c r="Z69" s="7"/>
      <c r="AA69" s="74"/>
      <c r="AB69" s="101">
        <f>IF(OR(Z69="",AA69=""),0,IFERROR(INDEX(#REF!,MATCH(Z69,#REF!,0))*AA69,0))</f>
        <v>0</v>
      </c>
      <c r="AC69" s="7"/>
      <c r="AD69" s="74"/>
      <c r="AE69" s="101">
        <f>IF(OR(AC69="",AD69=""),0,IFERROR(INDEX(#REF!,MATCH(AC69,#REF!,0))*AD69,0))</f>
        <v>0</v>
      </c>
      <c r="AF69" s="7"/>
      <c r="AG69" s="74"/>
      <c r="AH69" s="101">
        <f>IF(OR(AF69="",AG69=""),0,IFERROR(INDEX(#REF!,MATCH(AF69,#REF!,0))*AG69,0))</f>
        <v>0</v>
      </c>
      <c r="AI69" s="7"/>
      <c r="AJ69" s="74"/>
      <c r="AK69" s="101">
        <f>IF(OR(AI69="",AJ69=""),0,IFERROR(INDEX(#REF!,MATCH(AI69,#REF!,0))*AJ69,0))</f>
        <v>0</v>
      </c>
      <c r="AL69" s="101">
        <f t="shared" si="6"/>
        <v>0</v>
      </c>
      <c r="AM69" s="7"/>
      <c r="AN69" s="72"/>
      <c r="AO69" s="99">
        <f>IF(OR(AM69="",AN69=""),0,IFERROR(INDEX(#REF!,MATCH(AM69,#REF!,0))*AN69,0))</f>
        <v>0</v>
      </c>
      <c r="AP69" s="7"/>
      <c r="AQ69" s="74"/>
      <c r="AR69" s="99">
        <f>IF(OR(AP69="",AQ69=""),0,IFERROR(INDEX(#REF!,MATCH(AP69,#REF!,0))*AQ69,0))</f>
        <v>0</v>
      </c>
      <c r="AS69" s="7"/>
      <c r="AT69" s="74"/>
      <c r="AU69" s="99">
        <f>IF(OR(AS69="",AT69=""),0,IFERROR(INDEX(#REF!,MATCH(AS69,#REF!,0))*AT69,0))</f>
        <v>0</v>
      </c>
      <c r="AV69" s="7"/>
      <c r="AW69" s="74"/>
      <c r="AX69" s="99">
        <f>IF(OR(AV69="",AW69=""),0,IFERROR(INDEX(#REF!,MATCH(AV69,#REF!,0))*AW69,0))</f>
        <v>0</v>
      </c>
      <c r="AY69" s="7"/>
      <c r="AZ69" s="77"/>
      <c r="BA69" s="99">
        <f>IF(OR(AY69="",AZ69=""),0,IFERROR(INDEX(#REF!,MATCH(AY69,#REF!,0))*AZ69,0))</f>
        <v>0</v>
      </c>
      <c r="BB69" s="100">
        <f t="shared" si="7"/>
        <v>0</v>
      </c>
      <c r="BC69" s="110" t="str">
        <f t="shared" si="8"/>
        <v/>
      </c>
      <c r="BD69" s="62"/>
    </row>
    <row r="70" spans="1:56" ht="19.5" customHeight="1" x14ac:dyDescent="0.45">
      <c r="A70" s="104" t="str">
        <f t="shared" si="9"/>
        <v/>
      </c>
      <c r="B70" s="5"/>
      <c r="C70" s="109"/>
      <c r="D70" s="107"/>
      <c r="E70" s="6"/>
      <c r="F70" s="85"/>
      <c r="G70" s="85"/>
      <c r="H70" s="104" t="str">
        <f t="shared" si="10"/>
        <v/>
      </c>
      <c r="I70" s="103" t="str">
        <f>IFERROR(INDEX(#REF!,MATCH(E70,#REF!,0)),"")</f>
        <v/>
      </c>
      <c r="J70" s="6"/>
      <c r="K70" s="103" t="str">
        <f t="shared" si="11"/>
        <v/>
      </c>
      <c r="L70" s="8"/>
      <c r="M70" s="102" t="str">
        <f t="shared" si="12"/>
        <v/>
      </c>
      <c r="N70" s="9"/>
      <c r="O70" s="103" t="str">
        <f t="shared" si="13"/>
        <v/>
      </c>
      <c r="P70" s="6"/>
      <c r="Q70" s="7"/>
      <c r="R70" s="10"/>
      <c r="S70" s="29" t="str">
        <f t="shared" ref="S70:S133" ca="1" si="14">IF(AND(B70&lt;&gt;"",F70&lt;&gt;"",F70&gt;=TODAY(),F70&lt;=TODAY()+180,P70&lt;&gt;"Cancelled"),F70+ROW()/100000,"")</f>
        <v/>
      </c>
      <c r="T70" s="7"/>
      <c r="U70" s="74"/>
      <c r="V70" s="101">
        <f>IF(OR(T70="",U70=""),0,IFERROR(INDEX(#REF!,MATCH(T70,#REF!,0))*U70,0))</f>
        <v>0</v>
      </c>
      <c r="W70" s="7"/>
      <c r="X70" s="74"/>
      <c r="Y70" s="101">
        <f>IF(OR(W70="",X70=""),0,IFERROR(INDEX(#REF!,MATCH(W70,#REF!,0))*X70,0))</f>
        <v>0</v>
      </c>
      <c r="Z70" s="7"/>
      <c r="AA70" s="74"/>
      <c r="AB70" s="101">
        <f>IF(OR(Z70="",AA70=""),0,IFERROR(INDEX(#REF!,MATCH(Z70,#REF!,0))*AA70,0))</f>
        <v>0</v>
      </c>
      <c r="AC70" s="7"/>
      <c r="AD70" s="74"/>
      <c r="AE70" s="101">
        <f>IF(OR(AC70="",AD70=""),0,IFERROR(INDEX(#REF!,MATCH(AC70,#REF!,0))*AD70,0))</f>
        <v>0</v>
      </c>
      <c r="AF70" s="7"/>
      <c r="AG70" s="74"/>
      <c r="AH70" s="101">
        <f>IF(OR(AF70="",AG70=""),0,IFERROR(INDEX(#REF!,MATCH(AF70,#REF!,0))*AG70,0))</f>
        <v>0</v>
      </c>
      <c r="AI70" s="7"/>
      <c r="AJ70" s="74"/>
      <c r="AK70" s="101">
        <f>IF(OR(AI70="",AJ70=""),0,IFERROR(INDEX(#REF!,MATCH(AI70,#REF!,0))*AJ70,0))</f>
        <v>0</v>
      </c>
      <c r="AL70" s="101">
        <f t="shared" ref="AL70:AL133" si="15">SUM(V70+Y70+AB70+AE70+AH70+AK70)</f>
        <v>0</v>
      </c>
      <c r="AM70" s="7"/>
      <c r="AN70" s="72"/>
      <c r="AO70" s="99">
        <f>IF(OR(AM70="",AN70=""),0,IFERROR(INDEX(#REF!,MATCH(AM70,#REF!,0))*AN70,0))</f>
        <v>0</v>
      </c>
      <c r="AP70" s="7"/>
      <c r="AQ70" s="74"/>
      <c r="AR70" s="99">
        <f>IF(OR(AP70="",AQ70=""),0,IFERROR(INDEX(#REF!,MATCH(AP70,#REF!,0))*AQ70,0))</f>
        <v>0</v>
      </c>
      <c r="AS70" s="7"/>
      <c r="AT70" s="74"/>
      <c r="AU70" s="99">
        <f>IF(OR(AS70="",AT70=""),0,IFERROR(INDEX(#REF!,MATCH(AS70,#REF!,0))*AT70,0))</f>
        <v>0</v>
      </c>
      <c r="AV70" s="7"/>
      <c r="AW70" s="74"/>
      <c r="AX70" s="99">
        <f>IF(OR(AV70="",AW70=""),0,IFERROR(INDEX(#REF!,MATCH(AV70,#REF!,0))*AW70,0))</f>
        <v>0</v>
      </c>
      <c r="AY70" s="7"/>
      <c r="AZ70" s="77"/>
      <c r="BA70" s="99">
        <f>IF(OR(AY70="",AZ70=""),0,IFERROR(INDEX(#REF!,MATCH(AY70,#REF!,0))*AZ70,0))</f>
        <v>0</v>
      </c>
      <c r="BB70" s="100">
        <f t="shared" ref="BB70:BB133" si="16">SUM(AO70+AR70+AU70+AX70+BA70)</f>
        <v>0</v>
      </c>
      <c r="BC70" s="110" t="str">
        <f t="shared" ref="BC70:BC133" si="17">IF(ISNUMBER(M70),M70+AL70+BB70,"")</f>
        <v/>
      </c>
      <c r="BD70" s="62"/>
    </row>
    <row r="71" spans="1:56" ht="19.5" customHeight="1" x14ac:dyDescent="0.45">
      <c r="A71" s="104" t="str">
        <f t="shared" si="9"/>
        <v/>
      </c>
      <c r="B71" s="5"/>
      <c r="C71" s="109"/>
      <c r="D71" s="107"/>
      <c r="E71" s="6"/>
      <c r="F71" s="85"/>
      <c r="G71" s="85"/>
      <c r="H71" s="104" t="str">
        <f t="shared" si="10"/>
        <v/>
      </c>
      <c r="I71" s="103" t="str">
        <f>IFERROR(INDEX(#REF!,MATCH(E71,#REF!,0)),"")</f>
        <v/>
      </c>
      <c r="J71" s="6"/>
      <c r="K71" s="103" t="str">
        <f t="shared" si="11"/>
        <v/>
      </c>
      <c r="L71" s="8"/>
      <c r="M71" s="102" t="str">
        <f t="shared" si="12"/>
        <v/>
      </c>
      <c r="N71" s="9"/>
      <c r="O71" s="103" t="str">
        <f t="shared" si="13"/>
        <v/>
      </c>
      <c r="P71" s="6"/>
      <c r="Q71" s="7"/>
      <c r="R71" s="10"/>
      <c r="S71" s="29" t="str">
        <f t="shared" ca="1" si="14"/>
        <v/>
      </c>
      <c r="T71" s="7"/>
      <c r="U71" s="74"/>
      <c r="V71" s="101">
        <f>IF(OR(T71="",U71=""),0,IFERROR(INDEX(#REF!,MATCH(T71,#REF!,0))*U71,0))</f>
        <v>0</v>
      </c>
      <c r="W71" s="7"/>
      <c r="X71" s="74"/>
      <c r="Y71" s="101">
        <f>IF(OR(W71="",X71=""),0,IFERROR(INDEX(#REF!,MATCH(W71,#REF!,0))*X71,0))</f>
        <v>0</v>
      </c>
      <c r="Z71" s="7"/>
      <c r="AA71" s="74"/>
      <c r="AB71" s="101">
        <f>IF(OR(Z71="",AA71=""),0,IFERROR(INDEX(#REF!,MATCH(Z71,#REF!,0))*AA71,0))</f>
        <v>0</v>
      </c>
      <c r="AC71" s="7"/>
      <c r="AD71" s="74"/>
      <c r="AE71" s="101">
        <f>IF(OR(AC71="",AD71=""),0,IFERROR(INDEX(#REF!,MATCH(AC71,#REF!,0))*AD71,0))</f>
        <v>0</v>
      </c>
      <c r="AF71" s="7"/>
      <c r="AG71" s="74"/>
      <c r="AH71" s="101">
        <f>IF(OR(AF71="",AG71=""),0,IFERROR(INDEX(#REF!,MATCH(AF71,#REF!,0))*AG71,0))</f>
        <v>0</v>
      </c>
      <c r="AI71" s="7"/>
      <c r="AJ71" s="74"/>
      <c r="AK71" s="101">
        <f>IF(OR(AI71="",AJ71=""),0,IFERROR(INDEX(#REF!,MATCH(AI71,#REF!,0))*AJ71,0))</f>
        <v>0</v>
      </c>
      <c r="AL71" s="101">
        <f t="shared" si="15"/>
        <v>0</v>
      </c>
      <c r="AM71" s="7"/>
      <c r="AN71" s="72"/>
      <c r="AO71" s="99">
        <f>IF(OR(AM71="",AN71=""),0,IFERROR(INDEX(#REF!,MATCH(AM71,#REF!,0))*AN71,0))</f>
        <v>0</v>
      </c>
      <c r="AP71" s="7"/>
      <c r="AQ71" s="74"/>
      <c r="AR71" s="99">
        <f>IF(OR(AP71="",AQ71=""),0,IFERROR(INDEX(#REF!,MATCH(AP71,#REF!,0))*AQ71,0))</f>
        <v>0</v>
      </c>
      <c r="AS71" s="7"/>
      <c r="AT71" s="74"/>
      <c r="AU71" s="99">
        <f>IF(OR(AS71="",AT71=""),0,IFERROR(INDEX(#REF!,MATCH(AS71,#REF!,0))*AT71,0))</f>
        <v>0</v>
      </c>
      <c r="AV71" s="7"/>
      <c r="AW71" s="74"/>
      <c r="AX71" s="99">
        <f>IF(OR(AV71="",AW71=""),0,IFERROR(INDEX(#REF!,MATCH(AV71,#REF!,0))*AW71,0))</f>
        <v>0</v>
      </c>
      <c r="AY71" s="7"/>
      <c r="AZ71" s="77"/>
      <c r="BA71" s="99">
        <f>IF(OR(AY71="",AZ71=""),0,IFERROR(INDEX(#REF!,MATCH(AY71,#REF!,0))*AZ71,0))</f>
        <v>0</v>
      </c>
      <c r="BB71" s="100">
        <f t="shared" si="16"/>
        <v>0</v>
      </c>
      <c r="BC71" s="110" t="str">
        <f t="shared" si="17"/>
        <v/>
      </c>
      <c r="BD71" s="62"/>
    </row>
    <row r="72" spans="1:56" ht="19.5" customHeight="1" x14ac:dyDescent="0.45">
      <c r="A72" s="104" t="str">
        <f t="shared" si="9"/>
        <v/>
      </c>
      <c r="B72" s="5"/>
      <c r="C72" s="109"/>
      <c r="D72" s="107"/>
      <c r="E72" s="6"/>
      <c r="F72" s="85"/>
      <c r="G72" s="85"/>
      <c r="H72" s="104" t="str">
        <f t="shared" si="10"/>
        <v/>
      </c>
      <c r="I72" s="103" t="str">
        <f>IFERROR(INDEX(#REF!,MATCH(E72,#REF!,0)),"")</f>
        <v/>
      </c>
      <c r="J72" s="6"/>
      <c r="K72" s="103" t="str">
        <f t="shared" si="11"/>
        <v/>
      </c>
      <c r="L72" s="8"/>
      <c r="M72" s="102" t="str">
        <f t="shared" si="12"/>
        <v/>
      </c>
      <c r="N72" s="9"/>
      <c r="O72" s="103" t="str">
        <f t="shared" si="13"/>
        <v/>
      </c>
      <c r="P72" s="6"/>
      <c r="Q72" s="7"/>
      <c r="R72" s="10"/>
      <c r="S72" s="29" t="str">
        <f t="shared" ca="1" si="14"/>
        <v/>
      </c>
      <c r="T72" s="7"/>
      <c r="U72" s="74"/>
      <c r="V72" s="101">
        <f>IF(OR(T72="",U72=""),0,IFERROR(INDEX(#REF!,MATCH(T72,#REF!,0))*U72,0))</f>
        <v>0</v>
      </c>
      <c r="W72" s="7"/>
      <c r="X72" s="74"/>
      <c r="Y72" s="101">
        <f>IF(OR(W72="",X72=""),0,IFERROR(INDEX(#REF!,MATCH(W72,#REF!,0))*X72,0))</f>
        <v>0</v>
      </c>
      <c r="Z72" s="7"/>
      <c r="AA72" s="74"/>
      <c r="AB72" s="101">
        <f>IF(OR(Z72="",AA72=""),0,IFERROR(INDEX(#REF!,MATCH(Z72,#REF!,0))*AA72,0))</f>
        <v>0</v>
      </c>
      <c r="AC72" s="7"/>
      <c r="AD72" s="74"/>
      <c r="AE72" s="101">
        <f>IF(OR(AC72="",AD72=""),0,IFERROR(INDEX(#REF!,MATCH(AC72,#REF!,0))*AD72,0))</f>
        <v>0</v>
      </c>
      <c r="AF72" s="7"/>
      <c r="AG72" s="74"/>
      <c r="AH72" s="101">
        <f>IF(OR(AF72="",AG72=""),0,IFERROR(INDEX(#REF!,MATCH(AF72,#REF!,0))*AG72,0))</f>
        <v>0</v>
      </c>
      <c r="AI72" s="7"/>
      <c r="AJ72" s="74"/>
      <c r="AK72" s="101">
        <f>IF(OR(AI72="",AJ72=""),0,IFERROR(INDEX(#REF!,MATCH(AI72,#REF!,0))*AJ72,0))</f>
        <v>0</v>
      </c>
      <c r="AL72" s="101">
        <f t="shared" si="15"/>
        <v>0</v>
      </c>
      <c r="AM72" s="7"/>
      <c r="AN72" s="72"/>
      <c r="AO72" s="99">
        <f>IF(OR(AM72="",AN72=""),0,IFERROR(INDEX(#REF!,MATCH(AM72,#REF!,0))*AN72,0))</f>
        <v>0</v>
      </c>
      <c r="AP72" s="7"/>
      <c r="AQ72" s="74"/>
      <c r="AR72" s="99">
        <f>IF(OR(AP72="",AQ72=""),0,IFERROR(INDEX(#REF!,MATCH(AP72,#REF!,0))*AQ72,0))</f>
        <v>0</v>
      </c>
      <c r="AS72" s="7"/>
      <c r="AT72" s="74"/>
      <c r="AU72" s="99">
        <f>IF(OR(AS72="",AT72=""),0,IFERROR(INDEX(#REF!,MATCH(AS72,#REF!,0))*AT72,0))</f>
        <v>0</v>
      </c>
      <c r="AV72" s="7"/>
      <c r="AW72" s="74"/>
      <c r="AX72" s="99">
        <f>IF(OR(AV72="",AW72=""),0,IFERROR(INDEX(#REF!,MATCH(AV72,#REF!,0))*AW72,0))</f>
        <v>0</v>
      </c>
      <c r="AY72" s="7"/>
      <c r="AZ72" s="77"/>
      <c r="BA72" s="99">
        <f>IF(OR(AY72="",AZ72=""),0,IFERROR(INDEX(#REF!,MATCH(AY72,#REF!,0))*AZ72,0))</f>
        <v>0</v>
      </c>
      <c r="BB72" s="100">
        <f t="shared" si="16"/>
        <v>0</v>
      </c>
      <c r="BC72" s="110" t="str">
        <f t="shared" si="17"/>
        <v/>
      </c>
      <c r="BD72" s="62"/>
    </row>
    <row r="73" spans="1:56" ht="19.5" customHeight="1" x14ac:dyDescent="0.45">
      <c r="A73" s="104" t="str">
        <f t="shared" si="9"/>
        <v/>
      </c>
      <c r="B73" s="5"/>
      <c r="C73" s="109"/>
      <c r="D73" s="107"/>
      <c r="E73" s="6"/>
      <c r="F73" s="85"/>
      <c r="G73" s="85"/>
      <c r="H73" s="104" t="str">
        <f t="shared" si="10"/>
        <v/>
      </c>
      <c r="I73" s="103" t="str">
        <f>IFERROR(INDEX(#REF!,MATCH(E73,#REF!,0)),"")</f>
        <v/>
      </c>
      <c r="J73" s="6"/>
      <c r="K73" s="103" t="str">
        <f t="shared" si="11"/>
        <v/>
      </c>
      <c r="L73" s="8"/>
      <c r="M73" s="102" t="str">
        <f t="shared" si="12"/>
        <v/>
      </c>
      <c r="N73" s="9"/>
      <c r="O73" s="103" t="str">
        <f t="shared" si="13"/>
        <v/>
      </c>
      <c r="P73" s="6"/>
      <c r="Q73" s="7"/>
      <c r="R73" s="10"/>
      <c r="S73" s="29" t="str">
        <f t="shared" ca="1" si="14"/>
        <v/>
      </c>
      <c r="T73" s="7"/>
      <c r="U73" s="74"/>
      <c r="V73" s="101">
        <f>IF(OR(T73="",U73=""),0,IFERROR(INDEX(#REF!,MATCH(T73,#REF!,0))*U73,0))</f>
        <v>0</v>
      </c>
      <c r="W73" s="7"/>
      <c r="X73" s="74"/>
      <c r="Y73" s="101">
        <f>IF(OR(W73="",X73=""),0,IFERROR(INDEX(#REF!,MATCH(W73,#REF!,0))*X73,0))</f>
        <v>0</v>
      </c>
      <c r="Z73" s="7"/>
      <c r="AA73" s="74"/>
      <c r="AB73" s="101">
        <f>IF(OR(Z73="",AA73=""),0,IFERROR(INDEX(#REF!,MATCH(Z73,#REF!,0))*AA73,0))</f>
        <v>0</v>
      </c>
      <c r="AC73" s="7"/>
      <c r="AD73" s="74"/>
      <c r="AE73" s="101">
        <f>IF(OR(AC73="",AD73=""),0,IFERROR(INDEX(#REF!,MATCH(AC73,#REF!,0))*AD73,0))</f>
        <v>0</v>
      </c>
      <c r="AF73" s="7"/>
      <c r="AG73" s="74"/>
      <c r="AH73" s="101">
        <f>IF(OR(AF73="",AG73=""),0,IFERROR(INDEX(#REF!,MATCH(AF73,#REF!,0))*AG73,0))</f>
        <v>0</v>
      </c>
      <c r="AI73" s="7"/>
      <c r="AJ73" s="74"/>
      <c r="AK73" s="101">
        <f>IF(OR(AI73="",AJ73=""),0,IFERROR(INDEX(#REF!,MATCH(AI73,#REF!,0))*AJ73,0))</f>
        <v>0</v>
      </c>
      <c r="AL73" s="101">
        <f t="shared" si="15"/>
        <v>0</v>
      </c>
      <c r="AM73" s="7"/>
      <c r="AN73" s="72"/>
      <c r="AO73" s="99">
        <f>IF(OR(AM73="",AN73=""),0,IFERROR(INDEX(#REF!,MATCH(AM73,#REF!,0))*AN73,0))</f>
        <v>0</v>
      </c>
      <c r="AP73" s="7"/>
      <c r="AQ73" s="74"/>
      <c r="AR73" s="99">
        <f>IF(OR(AP73="",AQ73=""),0,IFERROR(INDEX(#REF!,MATCH(AP73,#REF!,0))*AQ73,0))</f>
        <v>0</v>
      </c>
      <c r="AS73" s="7"/>
      <c r="AT73" s="74"/>
      <c r="AU73" s="99">
        <f>IF(OR(AS73="",AT73=""),0,IFERROR(INDEX(#REF!,MATCH(AS73,#REF!,0))*AT73,0))</f>
        <v>0</v>
      </c>
      <c r="AV73" s="7"/>
      <c r="AW73" s="74"/>
      <c r="AX73" s="99">
        <f>IF(OR(AV73="",AW73=""),0,IFERROR(INDEX(#REF!,MATCH(AV73,#REF!,0))*AW73,0))</f>
        <v>0</v>
      </c>
      <c r="AY73" s="7"/>
      <c r="AZ73" s="77"/>
      <c r="BA73" s="99">
        <f>IF(OR(AY73="",AZ73=""),0,IFERROR(INDEX(#REF!,MATCH(AY73,#REF!,0))*AZ73,0))</f>
        <v>0</v>
      </c>
      <c r="BB73" s="100">
        <f t="shared" si="16"/>
        <v>0</v>
      </c>
      <c r="BC73" s="110" t="str">
        <f t="shared" si="17"/>
        <v/>
      </c>
      <c r="BD73" s="62"/>
    </row>
    <row r="74" spans="1:56" ht="19.5" customHeight="1" x14ac:dyDescent="0.45">
      <c r="A74" s="104" t="str">
        <f t="shared" si="9"/>
        <v/>
      </c>
      <c r="B74" s="5"/>
      <c r="C74" s="109"/>
      <c r="D74" s="107"/>
      <c r="E74" s="6"/>
      <c r="F74" s="85"/>
      <c r="G74" s="85"/>
      <c r="H74" s="104" t="str">
        <f t="shared" si="10"/>
        <v/>
      </c>
      <c r="I74" s="103" t="str">
        <f>IFERROR(INDEX(#REF!,MATCH(E74,#REF!,0)),"")</f>
        <v/>
      </c>
      <c r="J74" s="6"/>
      <c r="K74" s="103" t="str">
        <f t="shared" si="11"/>
        <v/>
      </c>
      <c r="L74" s="8"/>
      <c r="M74" s="102" t="str">
        <f t="shared" si="12"/>
        <v/>
      </c>
      <c r="N74" s="9"/>
      <c r="O74" s="103" t="str">
        <f t="shared" si="13"/>
        <v/>
      </c>
      <c r="P74" s="6"/>
      <c r="Q74" s="7"/>
      <c r="R74" s="10"/>
      <c r="S74" s="29" t="str">
        <f t="shared" ca="1" si="14"/>
        <v/>
      </c>
      <c r="T74" s="7"/>
      <c r="U74" s="74"/>
      <c r="V74" s="101">
        <f>IF(OR(T74="",U74=""),0,IFERROR(INDEX(#REF!,MATCH(T74,#REF!,0))*U74,0))</f>
        <v>0</v>
      </c>
      <c r="W74" s="7"/>
      <c r="X74" s="74"/>
      <c r="Y74" s="101">
        <f>IF(OR(W74="",X74=""),0,IFERROR(INDEX(#REF!,MATCH(W74,#REF!,0))*X74,0))</f>
        <v>0</v>
      </c>
      <c r="Z74" s="7"/>
      <c r="AA74" s="74"/>
      <c r="AB74" s="101">
        <f>IF(OR(Z74="",AA74=""),0,IFERROR(INDEX(#REF!,MATCH(Z74,#REF!,0))*AA74,0))</f>
        <v>0</v>
      </c>
      <c r="AC74" s="7"/>
      <c r="AD74" s="74"/>
      <c r="AE74" s="101">
        <f>IF(OR(AC74="",AD74=""),0,IFERROR(INDEX(#REF!,MATCH(AC74,#REF!,0))*AD74,0))</f>
        <v>0</v>
      </c>
      <c r="AF74" s="7"/>
      <c r="AG74" s="74"/>
      <c r="AH74" s="101">
        <f>IF(OR(AF74="",AG74=""),0,IFERROR(INDEX(#REF!,MATCH(AF74,#REF!,0))*AG74,0))</f>
        <v>0</v>
      </c>
      <c r="AI74" s="7"/>
      <c r="AJ74" s="74"/>
      <c r="AK74" s="101">
        <f>IF(OR(AI74="",AJ74=""),0,IFERROR(INDEX(#REF!,MATCH(AI74,#REF!,0))*AJ74,0))</f>
        <v>0</v>
      </c>
      <c r="AL74" s="101">
        <f t="shared" si="15"/>
        <v>0</v>
      </c>
      <c r="AM74" s="7"/>
      <c r="AN74" s="72"/>
      <c r="AO74" s="99">
        <f>IF(OR(AM74="",AN74=""),0,IFERROR(INDEX(#REF!,MATCH(AM74,#REF!,0))*AN74,0))</f>
        <v>0</v>
      </c>
      <c r="AP74" s="7"/>
      <c r="AQ74" s="74"/>
      <c r="AR74" s="99">
        <f>IF(OR(AP74="",AQ74=""),0,IFERROR(INDEX(#REF!,MATCH(AP74,#REF!,0))*AQ74,0))</f>
        <v>0</v>
      </c>
      <c r="AS74" s="7"/>
      <c r="AT74" s="74"/>
      <c r="AU74" s="99">
        <f>IF(OR(AS74="",AT74=""),0,IFERROR(INDEX(#REF!,MATCH(AS74,#REF!,0))*AT74,0))</f>
        <v>0</v>
      </c>
      <c r="AV74" s="7"/>
      <c r="AW74" s="74"/>
      <c r="AX74" s="99">
        <f>IF(OR(AV74="",AW74=""),0,IFERROR(INDEX(#REF!,MATCH(AV74,#REF!,0))*AW74,0))</f>
        <v>0</v>
      </c>
      <c r="AY74" s="7"/>
      <c r="AZ74" s="77"/>
      <c r="BA74" s="99">
        <f>IF(OR(AY74="",AZ74=""),0,IFERROR(INDEX(#REF!,MATCH(AY74,#REF!,0))*AZ74,0))</f>
        <v>0</v>
      </c>
      <c r="BB74" s="100">
        <f t="shared" si="16"/>
        <v>0</v>
      </c>
      <c r="BC74" s="110" t="str">
        <f t="shared" si="17"/>
        <v/>
      </c>
      <c r="BD74" s="62"/>
    </row>
    <row r="75" spans="1:56" ht="19.5" customHeight="1" x14ac:dyDescent="0.45">
      <c r="A75" s="104" t="str">
        <f t="shared" si="9"/>
        <v/>
      </c>
      <c r="B75" s="5"/>
      <c r="C75" s="109"/>
      <c r="D75" s="107"/>
      <c r="E75" s="6"/>
      <c r="F75" s="85"/>
      <c r="G75" s="85"/>
      <c r="H75" s="104" t="str">
        <f t="shared" si="10"/>
        <v/>
      </c>
      <c r="I75" s="103" t="str">
        <f>IFERROR(INDEX(#REF!,MATCH(E75,#REF!,0)),"")</f>
        <v/>
      </c>
      <c r="J75" s="6"/>
      <c r="K75" s="103" t="str">
        <f t="shared" si="11"/>
        <v/>
      </c>
      <c r="L75" s="8"/>
      <c r="M75" s="102" t="str">
        <f t="shared" si="12"/>
        <v/>
      </c>
      <c r="N75" s="9"/>
      <c r="O75" s="103" t="str">
        <f t="shared" si="13"/>
        <v/>
      </c>
      <c r="P75" s="6"/>
      <c r="Q75" s="7"/>
      <c r="R75" s="10"/>
      <c r="S75" s="29" t="str">
        <f t="shared" ca="1" si="14"/>
        <v/>
      </c>
      <c r="T75" s="7"/>
      <c r="U75" s="74"/>
      <c r="V75" s="101">
        <f>IF(OR(T75="",U75=""),0,IFERROR(INDEX(#REF!,MATCH(T75,#REF!,0))*U75,0))</f>
        <v>0</v>
      </c>
      <c r="W75" s="7"/>
      <c r="X75" s="74"/>
      <c r="Y75" s="101">
        <f>IF(OR(W75="",X75=""),0,IFERROR(INDEX(#REF!,MATCH(W75,#REF!,0))*X75,0))</f>
        <v>0</v>
      </c>
      <c r="Z75" s="7"/>
      <c r="AA75" s="74"/>
      <c r="AB75" s="101">
        <f>IF(OR(Z75="",AA75=""),0,IFERROR(INDEX(#REF!,MATCH(Z75,#REF!,0))*AA75,0))</f>
        <v>0</v>
      </c>
      <c r="AC75" s="7"/>
      <c r="AD75" s="74"/>
      <c r="AE75" s="101">
        <f>IF(OR(AC75="",AD75=""),0,IFERROR(INDEX(#REF!,MATCH(AC75,#REF!,0))*AD75,0))</f>
        <v>0</v>
      </c>
      <c r="AF75" s="7"/>
      <c r="AG75" s="74"/>
      <c r="AH75" s="101">
        <f>IF(OR(AF75="",AG75=""),0,IFERROR(INDEX(#REF!,MATCH(AF75,#REF!,0))*AG75,0))</f>
        <v>0</v>
      </c>
      <c r="AI75" s="7"/>
      <c r="AJ75" s="74"/>
      <c r="AK75" s="101">
        <f>IF(OR(AI75="",AJ75=""),0,IFERROR(INDEX(#REF!,MATCH(AI75,#REF!,0))*AJ75,0))</f>
        <v>0</v>
      </c>
      <c r="AL75" s="101">
        <f t="shared" si="15"/>
        <v>0</v>
      </c>
      <c r="AM75" s="7"/>
      <c r="AN75" s="72"/>
      <c r="AO75" s="99">
        <f>IF(OR(AM75="",AN75=""),0,IFERROR(INDEX(#REF!,MATCH(AM75,#REF!,0))*AN75,0))</f>
        <v>0</v>
      </c>
      <c r="AP75" s="7"/>
      <c r="AQ75" s="74"/>
      <c r="AR75" s="99">
        <f>IF(OR(AP75="",AQ75=""),0,IFERROR(INDEX(#REF!,MATCH(AP75,#REF!,0))*AQ75,0))</f>
        <v>0</v>
      </c>
      <c r="AS75" s="7"/>
      <c r="AT75" s="74"/>
      <c r="AU75" s="99">
        <f>IF(OR(AS75="",AT75=""),0,IFERROR(INDEX(#REF!,MATCH(AS75,#REF!,0))*AT75,0))</f>
        <v>0</v>
      </c>
      <c r="AV75" s="7"/>
      <c r="AW75" s="74"/>
      <c r="AX75" s="99">
        <f>IF(OR(AV75="",AW75=""),0,IFERROR(INDEX(#REF!,MATCH(AV75,#REF!,0))*AW75,0))</f>
        <v>0</v>
      </c>
      <c r="AY75" s="7"/>
      <c r="AZ75" s="77"/>
      <c r="BA75" s="99">
        <f>IF(OR(AY75="",AZ75=""),0,IFERROR(INDEX(#REF!,MATCH(AY75,#REF!,0))*AZ75,0))</f>
        <v>0</v>
      </c>
      <c r="BB75" s="100">
        <f t="shared" si="16"/>
        <v>0</v>
      </c>
      <c r="BC75" s="110" t="str">
        <f t="shared" si="17"/>
        <v/>
      </c>
      <c r="BD75" s="62"/>
    </row>
    <row r="76" spans="1:56" ht="19.5" customHeight="1" x14ac:dyDescent="0.45">
      <c r="A76" s="104" t="str">
        <f t="shared" si="9"/>
        <v/>
      </c>
      <c r="B76" s="5"/>
      <c r="C76" s="109"/>
      <c r="D76" s="107"/>
      <c r="E76" s="6"/>
      <c r="F76" s="85"/>
      <c r="G76" s="85"/>
      <c r="H76" s="104" t="str">
        <f t="shared" si="10"/>
        <v/>
      </c>
      <c r="I76" s="103" t="str">
        <f>IFERROR(INDEX(#REF!,MATCH(E76,#REF!,0)),"")</f>
        <v/>
      </c>
      <c r="J76" s="6"/>
      <c r="K76" s="103" t="str">
        <f t="shared" si="11"/>
        <v/>
      </c>
      <c r="L76" s="8"/>
      <c r="M76" s="102" t="str">
        <f t="shared" si="12"/>
        <v/>
      </c>
      <c r="N76" s="9"/>
      <c r="O76" s="103" t="str">
        <f t="shared" si="13"/>
        <v/>
      </c>
      <c r="P76" s="6"/>
      <c r="Q76" s="7"/>
      <c r="R76" s="10"/>
      <c r="S76" s="29" t="str">
        <f t="shared" ca="1" si="14"/>
        <v/>
      </c>
      <c r="T76" s="7"/>
      <c r="U76" s="74"/>
      <c r="V76" s="101">
        <f>IF(OR(T76="",U76=""),0,IFERROR(INDEX(#REF!,MATCH(T76,#REF!,0))*U76,0))</f>
        <v>0</v>
      </c>
      <c r="W76" s="7"/>
      <c r="X76" s="74"/>
      <c r="Y76" s="101">
        <f>IF(OR(W76="",X76=""),0,IFERROR(INDEX(#REF!,MATCH(W76,#REF!,0))*X76,0))</f>
        <v>0</v>
      </c>
      <c r="Z76" s="7"/>
      <c r="AA76" s="74"/>
      <c r="AB76" s="101">
        <f>IF(OR(Z76="",AA76=""),0,IFERROR(INDEX(#REF!,MATCH(Z76,#REF!,0))*AA76,0))</f>
        <v>0</v>
      </c>
      <c r="AC76" s="7"/>
      <c r="AD76" s="74"/>
      <c r="AE76" s="101">
        <f>IF(OR(AC76="",AD76=""),0,IFERROR(INDEX(#REF!,MATCH(AC76,#REF!,0))*AD76,0))</f>
        <v>0</v>
      </c>
      <c r="AF76" s="7"/>
      <c r="AG76" s="74"/>
      <c r="AH76" s="101">
        <f>IF(OR(AF76="",AG76=""),0,IFERROR(INDEX(#REF!,MATCH(AF76,#REF!,0))*AG76,0))</f>
        <v>0</v>
      </c>
      <c r="AI76" s="7"/>
      <c r="AJ76" s="74"/>
      <c r="AK76" s="101">
        <f>IF(OR(AI76="",AJ76=""),0,IFERROR(INDEX(#REF!,MATCH(AI76,#REF!,0))*AJ76,0))</f>
        <v>0</v>
      </c>
      <c r="AL76" s="101">
        <f t="shared" si="15"/>
        <v>0</v>
      </c>
      <c r="AM76" s="7"/>
      <c r="AN76" s="72"/>
      <c r="AO76" s="99">
        <f>IF(OR(AM76="",AN76=""),0,IFERROR(INDEX(#REF!,MATCH(AM76,#REF!,0))*AN76,0))</f>
        <v>0</v>
      </c>
      <c r="AP76" s="7"/>
      <c r="AQ76" s="74"/>
      <c r="AR76" s="99">
        <f>IF(OR(AP76="",AQ76=""),0,IFERROR(INDEX(#REF!,MATCH(AP76,#REF!,0))*AQ76,0))</f>
        <v>0</v>
      </c>
      <c r="AS76" s="7"/>
      <c r="AT76" s="74"/>
      <c r="AU76" s="99">
        <f>IF(OR(AS76="",AT76=""),0,IFERROR(INDEX(#REF!,MATCH(AS76,#REF!,0))*AT76,0))</f>
        <v>0</v>
      </c>
      <c r="AV76" s="7"/>
      <c r="AW76" s="74"/>
      <c r="AX76" s="99">
        <f>IF(OR(AV76="",AW76=""),0,IFERROR(INDEX(#REF!,MATCH(AV76,#REF!,0))*AW76,0))</f>
        <v>0</v>
      </c>
      <c r="AY76" s="7"/>
      <c r="AZ76" s="77"/>
      <c r="BA76" s="99">
        <f>IF(OR(AY76="",AZ76=""),0,IFERROR(INDEX(#REF!,MATCH(AY76,#REF!,0))*AZ76,0))</f>
        <v>0</v>
      </c>
      <c r="BB76" s="100">
        <f t="shared" si="16"/>
        <v>0</v>
      </c>
      <c r="BC76" s="110" t="str">
        <f t="shared" si="17"/>
        <v/>
      </c>
      <c r="BD76" s="62"/>
    </row>
    <row r="77" spans="1:56" ht="19.5" customHeight="1" x14ac:dyDescent="0.45">
      <c r="A77" s="104" t="str">
        <f t="shared" si="9"/>
        <v/>
      </c>
      <c r="B77" s="5"/>
      <c r="C77" s="109"/>
      <c r="D77" s="107"/>
      <c r="E77" s="6"/>
      <c r="F77" s="85"/>
      <c r="G77" s="85"/>
      <c r="H77" s="104" t="str">
        <f t="shared" si="10"/>
        <v/>
      </c>
      <c r="I77" s="103" t="str">
        <f>IFERROR(INDEX(#REF!,MATCH(E77,#REF!,0)),"")</f>
        <v/>
      </c>
      <c r="J77" s="6"/>
      <c r="K77" s="103" t="str">
        <f t="shared" si="11"/>
        <v/>
      </c>
      <c r="L77" s="8"/>
      <c r="M77" s="102" t="str">
        <f t="shared" si="12"/>
        <v/>
      </c>
      <c r="N77" s="9"/>
      <c r="O77" s="103" t="str">
        <f t="shared" si="13"/>
        <v/>
      </c>
      <c r="P77" s="6"/>
      <c r="Q77" s="7"/>
      <c r="R77" s="10"/>
      <c r="S77" s="29" t="str">
        <f t="shared" ca="1" si="14"/>
        <v/>
      </c>
      <c r="T77" s="7"/>
      <c r="U77" s="74"/>
      <c r="V77" s="101">
        <f>IF(OR(T77="",U77=""),0,IFERROR(INDEX(#REF!,MATCH(T77,#REF!,0))*U77,0))</f>
        <v>0</v>
      </c>
      <c r="W77" s="7"/>
      <c r="X77" s="74"/>
      <c r="Y77" s="101">
        <f>IF(OR(W77="",X77=""),0,IFERROR(INDEX(#REF!,MATCH(W77,#REF!,0))*X77,0))</f>
        <v>0</v>
      </c>
      <c r="Z77" s="7"/>
      <c r="AA77" s="74"/>
      <c r="AB77" s="101">
        <f>IF(OR(Z77="",AA77=""),0,IFERROR(INDEX(#REF!,MATCH(Z77,#REF!,0))*AA77,0))</f>
        <v>0</v>
      </c>
      <c r="AC77" s="7"/>
      <c r="AD77" s="74"/>
      <c r="AE77" s="101">
        <f>IF(OR(AC77="",AD77=""),0,IFERROR(INDEX(#REF!,MATCH(AC77,#REF!,0))*AD77,0))</f>
        <v>0</v>
      </c>
      <c r="AF77" s="7"/>
      <c r="AG77" s="74"/>
      <c r="AH77" s="101">
        <f>IF(OR(AF77="",AG77=""),0,IFERROR(INDEX(#REF!,MATCH(AF77,#REF!,0))*AG77,0))</f>
        <v>0</v>
      </c>
      <c r="AI77" s="7"/>
      <c r="AJ77" s="74"/>
      <c r="AK77" s="101">
        <f>IF(OR(AI77="",AJ77=""),0,IFERROR(INDEX(#REF!,MATCH(AI77,#REF!,0))*AJ77,0))</f>
        <v>0</v>
      </c>
      <c r="AL77" s="101">
        <f t="shared" si="15"/>
        <v>0</v>
      </c>
      <c r="AM77" s="7"/>
      <c r="AN77" s="72"/>
      <c r="AO77" s="99">
        <f>IF(OR(AM77="",AN77=""),0,IFERROR(INDEX(#REF!,MATCH(AM77,#REF!,0))*AN77,0))</f>
        <v>0</v>
      </c>
      <c r="AP77" s="7"/>
      <c r="AQ77" s="74"/>
      <c r="AR77" s="99">
        <f>IF(OR(AP77="",AQ77=""),0,IFERROR(INDEX(#REF!,MATCH(AP77,#REF!,0))*AQ77,0))</f>
        <v>0</v>
      </c>
      <c r="AS77" s="7"/>
      <c r="AT77" s="74"/>
      <c r="AU77" s="99">
        <f>IF(OR(AS77="",AT77=""),0,IFERROR(INDEX(#REF!,MATCH(AS77,#REF!,0))*AT77,0))</f>
        <v>0</v>
      </c>
      <c r="AV77" s="7"/>
      <c r="AW77" s="74"/>
      <c r="AX77" s="99">
        <f>IF(OR(AV77="",AW77=""),0,IFERROR(INDEX(#REF!,MATCH(AV77,#REF!,0))*AW77,0))</f>
        <v>0</v>
      </c>
      <c r="AY77" s="7"/>
      <c r="AZ77" s="77"/>
      <c r="BA77" s="99">
        <f>IF(OR(AY77="",AZ77=""),0,IFERROR(INDEX(#REF!,MATCH(AY77,#REF!,0))*AZ77,0))</f>
        <v>0</v>
      </c>
      <c r="BB77" s="100">
        <f t="shared" si="16"/>
        <v>0</v>
      </c>
      <c r="BC77" s="110" t="str">
        <f t="shared" si="17"/>
        <v/>
      </c>
      <c r="BD77" s="62"/>
    </row>
    <row r="78" spans="1:56" ht="19.5" customHeight="1" x14ac:dyDescent="0.45">
      <c r="A78" s="104" t="str">
        <f t="shared" si="9"/>
        <v/>
      </c>
      <c r="B78" s="5"/>
      <c r="C78" s="109"/>
      <c r="D78" s="107"/>
      <c r="E78" s="6"/>
      <c r="F78" s="85"/>
      <c r="G78" s="85"/>
      <c r="H78" s="104" t="str">
        <f t="shared" si="10"/>
        <v/>
      </c>
      <c r="I78" s="103" t="str">
        <f>IFERROR(INDEX(#REF!,MATCH(E78,#REF!,0)),"")</f>
        <v/>
      </c>
      <c r="J78" s="6"/>
      <c r="K78" s="103" t="str">
        <f t="shared" si="11"/>
        <v/>
      </c>
      <c r="L78" s="8"/>
      <c r="M78" s="102" t="str">
        <f t="shared" si="12"/>
        <v/>
      </c>
      <c r="N78" s="9"/>
      <c r="O78" s="103" t="str">
        <f t="shared" si="13"/>
        <v/>
      </c>
      <c r="P78" s="6"/>
      <c r="Q78" s="7"/>
      <c r="R78" s="10"/>
      <c r="S78" s="29" t="str">
        <f t="shared" ca="1" si="14"/>
        <v/>
      </c>
      <c r="T78" s="7"/>
      <c r="U78" s="74"/>
      <c r="V78" s="101">
        <f>IF(OR(T78="",U78=""),0,IFERROR(INDEX(#REF!,MATCH(T78,#REF!,0))*U78,0))</f>
        <v>0</v>
      </c>
      <c r="W78" s="7"/>
      <c r="X78" s="74"/>
      <c r="Y78" s="101">
        <f>IF(OR(W78="",X78=""),0,IFERROR(INDEX(#REF!,MATCH(W78,#REF!,0))*X78,0))</f>
        <v>0</v>
      </c>
      <c r="Z78" s="7"/>
      <c r="AA78" s="74"/>
      <c r="AB78" s="101">
        <f>IF(OR(Z78="",AA78=""),0,IFERROR(INDEX(#REF!,MATCH(Z78,#REF!,0))*AA78,0))</f>
        <v>0</v>
      </c>
      <c r="AC78" s="7"/>
      <c r="AD78" s="74"/>
      <c r="AE78" s="101">
        <f>IF(OR(AC78="",AD78=""),0,IFERROR(INDEX(#REF!,MATCH(AC78,#REF!,0))*AD78,0))</f>
        <v>0</v>
      </c>
      <c r="AF78" s="7"/>
      <c r="AG78" s="74"/>
      <c r="AH78" s="101">
        <f>IF(OR(AF78="",AG78=""),0,IFERROR(INDEX(#REF!,MATCH(AF78,#REF!,0))*AG78,0))</f>
        <v>0</v>
      </c>
      <c r="AI78" s="7"/>
      <c r="AJ78" s="74"/>
      <c r="AK78" s="101">
        <f>IF(OR(AI78="",AJ78=""),0,IFERROR(INDEX(#REF!,MATCH(AI78,#REF!,0))*AJ78,0))</f>
        <v>0</v>
      </c>
      <c r="AL78" s="101">
        <f t="shared" si="15"/>
        <v>0</v>
      </c>
      <c r="AM78" s="7"/>
      <c r="AN78" s="72"/>
      <c r="AO78" s="99">
        <f>IF(OR(AM78="",AN78=""),0,IFERROR(INDEX(#REF!,MATCH(AM78,#REF!,0))*AN78,0))</f>
        <v>0</v>
      </c>
      <c r="AP78" s="7"/>
      <c r="AQ78" s="74"/>
      <c r="AR78" s="99">
        <f>IF(OR(AP78="",AQ78=""),0,IFERROR(INDEX(#REF!,MATCH(AP78,#REF!,0))*AQ78,0))</f>
        <v>0</v>
      </c>
      <c r="AS78" s="7"/>
      <c r="AT78" s="74"/>
      <c r="AU78" s="99">
        <f>IF(OR(AS78="",AT78=""),0,IFERROR(INDEX(#REF!,MATCH(AS78,#REF!,0))*AT78,0))</f>
        <v>0</v>
      </c>
      <c r="AV78" s="7"/>
      <c r="AW78" s="74"/>
      <c r="AX78" s="99">
        <f>IF(OR(AV78="",AW78=""),0,IFERROR(INDEX(#REF!,MATCH(AV78,#REF!,0))*AW78,0))</f>
        <v>0</v>
      </c>
      <c r="AY78" s="7"/>
      <c r="AZ78" s="77"/>
      <c r="BA78" s="99">
        <f>IF(OR(AY78="",AZ78=""),0,IFERROR(INDEX(#REF!,MATCH(AY78,#REF!,0))*AZ78,0))</f>
        <v>0</v>
      </c>
      <c r="BB78" s="100">
        <f t="shared" si="16"/>
        <v>0</v>
      </c>
      <c r="BC78" s="110" t="str">
        <f t="shared" si="17"/>
        <v/>
      </c>
      <c r="BD78" s="62"/>
    </row>
    <row r="79" spans="1:56" ht="19.5" customHeight="1" x14ac:dyDescent="0.45">
      <c r="A79" s="104" t="str">
        <f t="shared" si="9"/>
        <v/>
      </c>
      <c r="B79" s="5"/>
      <c r="C79" s="109"/>
      <c r="D79" s="107"/>
      <c r="E79" s="6"/>
      <c r="F79" s="85"/>
      <c r="G79" s="85"/>
      <c r="H79" s="104" t="str">
        <f t="shared" si="10"/>
        <v/>
      </c>
      <c r="I79" s="103" t="str">
        <f>IFERROR(INDEX(#REF!,MATCH(E79,#REF!,0)),"")</f>
        <v/>
      </c>
      <c r="J79" s="6"/>
      <c r="K79" s="103" t="str">
        <f t="shared" si="11"/>
        <v/>
      </c>
      <c r="L79" s="8"/>
      <c r="M79" s="102" t="str">
        <f t="shared" si="12"/>
        <v/>
      </c>
      <c r="N79" s="9"/>
      <c r="O79" s="103" t="str">
        <f t="shared" si="13"/>
        <v/>
      </c>
      <c r="P79" s="6"/>
      <c r="Q79" s="7"/>
      <c r="R79" s="10"/>
      <c r="S79" s="29" t="str">
        <f t="shared" ca="1" si="14"/>
        <v/>
      </c>
      <c r="T79" s="7"/>
      <c r="U79" s="74"/>
      <c r="V79" s="101">
        <f>IF(OR(T79="",U79=""),0,IFERROR(INDEX(#REF!,MATCH(T79,#REF!,0))*U79,0))</f>
        <v>0</v>
      </c>
      <c r="W79" s="7"/>
      <c r="X79" s="74"/>
      <c r="Y79" s="101">
        <f>IF(OR(W79="",X79=""),0,IFERROR(INDEX(#REF!,MATCH(W79,#REF!,0))*X79,0))</f>
        <v>0</v>
      </c>
      <c r="Z79" s="7"/>
      <c r="AA79" s="74"/>
      <c r="AB79" s="101">
        <f>IF(OR(Z79="",AA79=""),0,IFERROR(INDEX(#REF!,MATCH(Z79,#REF!,0))*AA79,0))</f>
        <v>0</v>
      </c>
      <c r="AC79" s="7"/>
      <c r="AD79" s="74"/>
      <c r="AE79" s="101">
        <f>IF(OR(AC79="",AD79=""),0,IFERROR(INDEX(#REF!,MATCH(AC79,#REF!,0))*AD79,0))</f>
        <v>0</v>
      </c>
      <c r="AF79" s="7"/>
      <c r="AG79" s="74"/>
      <c r="AH79" s="101">
        <f>IF(OR(AF79="",AG79=""),0,IFERROR(INDEX(#REF!,MATCH(AF79,#REF!,0))*AG79,0))</f>
        <v>0</v>
      </c>
      <c r="AI79" s="7"/>
      <c r="AJ79" s="74"/>
      <c r="AK79" s="101">
        <f>IF(OR(AI79="",AJ79=""),0,IFERROR(INDEX(#REF!,MATCH(AI79,#REF!,0))*AJ79,0))</f>
        <v>0</v>
      </c>
      <c r="AL79" s="101">
        <f t="shared" si="15"/>
        <v>0</v>
      </c>
      <c r="AM79" s="7"/>
      <c r="AN79" s="72"/>
      <c r="AO79" s="99">
        <f>IF(OR(AM79="",AN79=""),0,IFERROR(INDEX(#REF!,MATCH(AM79,#REF!,0))*AN79,0))</f>
        <v>0</v>
      </c>
      <c r="AP79" s="7"/>
      <c r="AQ79" s="74"/>
      <c r="AR79" s="99">
        <f>IF(OR(AP79="",AQ79=""),0,IFERROR(INDEX(#REF!,MATCH(AP79,#REF!,0))*AQ79,0))</f>
        <v>0</v>
      </c>
      <c r="AS79" s="7"/>
      <c r="AT79" s="74"/>
      <c r="AU79" s="99">
        <f>IF(OR(AS79="",AT79=""),0,IFERROR(INDEX(#REF!,MATCH(AS79,#REF!,0))*AT79,0))</f>
        <v>0</v>
      </c>
      <c r="AV79" s="7"/>
      <c r="AW79" s="74"/>
      <c r="AX79" s="99">
        <f>IF(OR(AV79="",AW79=""),0,IFERROR(INDEX(#REF!,MATCH(AV79,#REF!,0))*AW79,0))</f>
        <v>0</v>
      </c>
      <c r="AY79" s="7"/>
      <c r="AZ79" s="77"/>
      <c r="BA79" s="99">
        <f>IF(OR(AY79="",AZ79=""),0,IFERROR(INDEX(#REF!,MATCH(AY79,#REF!,0))*AZ79,0))</f>
        <v>0</v>
      </c>
      <c r="BB79" s="100">
        <f t="shared" si="16"/>
        <v>0</v>
      </c>
      <c r="BC79" s="110" t="str">
        <f t="shared" si="17"/>
        <v/>
      </c>
      <c r="BD79" s="62"/>
    </row>
    <row r="80" spans="1:56" ht="19.5" customHeight="1" x14ac:dyDescent="0.45">
      <c r="A80" s="104" t="str">
        <f t="shared" si="9"/>
        <v/>
      </c>
      <c r="B80" s="5"/>
      <c r="C80" s="109"/>
      <c r="D80" s="107"/>
      <c r="E80" s="6"/>
      <c r="F80" s="85"/>
      <c r="G80" s="85"/>
      <c r="H80" s="104" t="str">
        <f t="shared" si="10"/>
        <v/>
      </c>
      <c r="I80" s="103" t="str">
        <f>IFERROR(INDEX(#REF!,MATCH(E80,#REF!,0)),"")</f>
        <v/>
      </c>
      <c r="J80" s="6"/>
      <c r="K80" s="103" t="str">
        <f t="shared" si="11"/>
        <v/>
      </c>
      <c r="L80" s="8"/>
      <c r="M80" s="102" t="str">
        <f t="shared" si="12"/>
        <v/>
      </c>
      <c r="N80" s="9"/>
      <c r="O80" s="103" t="str">
        <f t="shared" si="13"/>
        <v/>
      </c>
      <c r="P80" s="6"/>
      <c r="Q80" s="7"/>
      <c r="R80" s="10"/>
      <c r="S80" s="29" t="str">
        <f t="shared" ca="1" si="14"/>
        <v/>
      </c>
      <c r="T80" s="7"/>
      <c r="U80" s="74"/>
      <c r="V80" s="101">
        <f>IF(OR(T80="",U80=""),0,IFERROR(INDEX(#REF!,MATCH(T80,#REF!,0))*U80,0))</f>
        <v>0</v>
      </c>
      <c r="W80" s="7"/>
      <c r="X80" s="74"/>
      <c r="Y80" s="101">
        <f>IF(OR(W80="",X80=""),0,IFERROR(INDEX(#REF!,MATCH(W80,#REF!,0))*X80,0))</f>
        <v>0</v>
      </c>
      <c r="Z80" s="7"/>
      <c r="AA80" s="74"/>
      <c r="AB80" s="101">
        <f>IF(OR(Z80="",AA80=""),0,IFERROR(INDEX(#REF!,MATCH(Z80,#REF!,0))*AA80,0))</f>
        <v>0</v>
      </c>
      <c r="AC80" s="7"/>
      <c r="AD80" s="74"/>
      <c r="AE80" s="101">
        <f>IF(OR(AC80="",AD80=""),0,IFERROR(INDEX(#REF!,MATCH(AC80,#REF!,0))*AD80,0))</f>
        <v>0</v>
      </c>
      <c r="AF80" s="7"/>
      <c r="AG80" s="74"/>
      <c r="AH80" s="101">
        <f>IF(OR(AF80="",AG80=""),0,IFERROR(INDEX(#REF!,MATCH(AF80,#REF!,0))*AG80,0))</f>
        <v>0</v>
      </c>
      <c r="AI80" s="7"/>
      <c r="AJ80" s="74"/>
      <c r="AK80" s="101">
        <f>IF(OR(AI80="",AJ80=""),0,IFERROR(INDEX(#REF!,MATCH(AI80,#REF!,0))*AJ80,0))</f>
        <v>0</v>
      </c>
      <c r="AL80" s="101">
        <f t="shared" si="15"/>
        <v>0</v>
      </c>
      <c r="AM80" s="7"/>
      <c r="AN80" s="72"/>
      <c r="AO80" s="99">
        <f>IF(OR(AM80="",AN80=""),0,IFERROR(INDEX(#REF!,MATCH(AM80,#REF!,0))*AN80,0))</f>
        <v>0</v>
      </c>
      <c r="AP80" s="7"/>
      <c r="AQ80" s="74"/>
      <c r="AR80" s="99">
        <f>IF(OR(AP80="",AQ80=""),0,IFERROR(INDEX(#REF!,MATCH(AP80,#REF!,0))*AQ80,0))</f>
        <v>0</v>
      </c>
      <c r="AS80" s="7"/>
      <c r="AT80" s="74"/>
      <c r="AU80" s="99">
        <f>IF(OR(AS80="",AT80=""),0,IFERROR(INDEX(#REF!,MATCH(AS80,#REF!,0))*AT80,0))</f>
        <v>0</v>
      </c>
      <c r="AV80" s="7"/>
      <c r="AW80" s="74"/>
      <c r="AX80" s="99">
        <f>IF(OR(AV80="",AW80=""),0,IFERROR(INDEX(#REF!,MATCH(AV80,#REF!,0))*AW80,0))</f>
        <v>0</v>
      </c>
      <c r="AY80" s="7"/>
      <c r="AZ80" s="77"/>
      <c r="BA80" s="99">
        <f>IF(OR(AY80="",AZ80=""),0,IFERROR(INDEX(#REF!,MATCH(AY80,#REF!,0))*AZ80,0))</f>
        <v>0</v>
      </c>
      <c r="BB80" s="100">
        <f t="shared" si="16"/>
        <v>0</v>
      </c>
      <c r="BC80" s="110" t="str">
        <f t="shared" si="17"/>
        <v/>
      </c>
      <c r="BD80" s="62"/>
    </row>
    <row r="81" spans="1:56" ht="19.5" customHeight="1" x14ac:dyDescent="0.45">
      <c r="A81" s="104" t="str">
        <f t="shared" si="9"/>
        <v/>
      </c>
      <c r="B81" s="5"/>
      <c r="C81" s="109"/>
      <c r="D81" s="107"/>
      <c r="E81" s="6"/>
      <c r="F81" s="85"/>
      <c r="G81" s="85"/>
      <c r="H81" s="104" t="str">
        <f t="shared" si="10"/>
        <v/>
      </c>
      <c r="I81" s="103" t="str">
        <f>IFERROR(INDEX(#REF!,MATCH(E81,#REF!,0)),"")</f>
        <v/>
      </c>
      <c r="J81" s="6"/>
      <c r="K81" s="103" t="str">
        <f t="shared" si="11"/>
        <v/>
      </c>
      <c r="L81" s="8"/>
      <c r="M81" s="102" t="str">
        <f t="shared" si="12"/>
        <v/>
      </c>
      <c r="N81" s="9"/>
      <c r="O81" s="103" t="str">
        <f t="shared" si="13"/>
        <v/>
      </c>
      <c r="P81" s="6"/>
      <c r="Q81" s="7"/>
      <c r="R81" s="10"/>
      <c r="S81" s="29" t="str">
        <f t="shared" ca="1" si="14"/>
        <v/>
      </c>
      <c r="T81" s="7"/>
      <c r="U81" s="74"/>
      <c r="V81" s="101">
        <f>IF(OR(T81="",U81=""),0,IFERROR(INDEX(#REF!,MATCH(T81,#REF!,0))*U81,0))</f>
        <v>0</v>
      </c>
      <c r="W81" s="7"/>
      <c r="X81" s="74"/>
      <c r="Y81" s="101">
        <f>IF(OR(W81="",X81=""),0,IFERROR(INDEX(#REF!,MATCH(W81,#REF!,0))*X81,0))</f>
        <v>0</v>
      </c>
      <c r="Z81" s="7"/>
      <c r="AA81" s="74"/>
      <c r="AB81" s="101">
        <f>IF(OR(Z81="",AA81=""),0,IFERROR(INDEX(#REF!,MATCH(Z81,#REF!,0))*AA81,0))</f>
        <v>0</v>
      </c>
      <c r="AC81" s="7"/>
      <c r="AD81" s="74"/>
      <c r="AE81" s="101">
        <f>IF(OR(AC81="",AD81=""),0,IFERROR(INDEX(#REF!,MATCH(AC81,#REF!,0))*AD81,0))</f>
        <v>0</v>
      </c>
      <c r="AF81" s="7"/>
      <c r="AG81" s="74"/>
      <c r="AH81" s="101">
        <f>IF(OR(AF81="",AG81=""),0,IFERROR(INDEX(#REF!,MATCH(AF81,#REF!,0))*AG81,0))</f>
        <v>0</v>
      </c>
      <c r="AI81" s="7"/>
      <c r="AJ81" s="74"/>
      <c r="AK81" s="101">
        <f>IF(OR(AI81="",AJ81=""),0,IFERROR(INDEX(#REF!,MATCH(AI81,#REF!,0))*AJ81,0))</f>
        <v>0</v>
      </c>
      <c r="AL81" s="101">
        <f t="shared" si="15"/>
        <v>0</v>
      </c>
      <c r="AM81" s="7"/>
      <c r="AN81" s="72"/>
      <c r="AO81" s="99">
        <f>IF(OR(AM81="",AN81=""),0,IFERROR(INDEX(#REF!,MATCH(AM81,#REF!,0))*AN81,0))</f>
        <v>0</v>
      </c>
      <c r="AP81" s="7"/>
      <c r="AQ81" s="74"/>
      <c r="AR81" s="99">
        <f>IF(OR(AP81="",AQ81=""),0,IFERROR(INDEX(#REF!,MATCH(AP81,#REF!,0))*AQ81,0))</f>
        <v>0</v>
      </c>
      <c r="AS81" s="7"/>
      <c r="AT81" s="74"/>
      <c r="AU81" s="99">
        <f>IF(OR(AS81="",AT81=""),0,IFERROR(INDEX(#REF!,MATCH(AS81,#REF!,0))*AT81,0))</f>
        <v>0</v>
      </c>
      <c r="AV81" s="7"/>
      <c r="AW81" s="74"/>
      <c r="AX81" s="99">
        <f>IF(OR(AV81="",AW81=""),0,IFERROR(INDEX(#REF!,MATCH(AV81,#REF!,0))*AW81,0))</f>
        <v>0</v>
      </c>
      <c r="AY81" s="7"/>
      <c r="AZ81" s="77"/>
      <c r="BA81" s="99">
        <f>IF(OR(AY81="",AZ81=""),0,IFERROR(INDEX(#REF!,MATCH(AY81,#REF!,0))*AZ81,0))</f>
        <v>0</v>
      </c>
      <c r="BB81" s="100">
        <f t="shared" si="16"/>
        <v>0</v>
      </c>
      <c r="BC81" s="110" t="str">
        <f t="shared" si="17"/>
        <v/>
      </c>
      <c r="BD81" s="62"/>
    </row>
    <row r="82" spans="1:56" ht="19.5" customHeight="1" x14ac:dyDescent="0.45">
      <c r="A82" s="104" t="str">
        <f t="shared" si="9"/>
        <v/>
      </c>
      <c r="B82" s="5"/>
      <c r="C82" s="109"/>
      <c r="D82" s="107"/>
      <c r="E82" s="6"/>
      <c r="F82" s="85"/>
      <c r="G82" s="85"/>
      <c r="H82" s="104" t="str">
        <f t="shared" si="10"/>
        <v/>
      </c>
      <c r="I82" s="103" t="str">
        <f>IFERROR(INDEX(#REF!,MATCH(E82,#REF!,0)),"")</f>
        <v/>
      </c>
      <c r="J82" s="6"/>
      <c r="K82" s="103" t="str">
        <f t="shared" si="11"/>
        <v/>
      </c>
      <c r="L82" s="8"/>
      <c r="M82" s="102" t="str">
        <f t="shared" si="12"/>
        <v/>
      </c>
      <c r="N82" s="9"/>
      <c r="O82" s="103" t="str">
        <f t="shared" si="13"/>
        <v/>
      </c>
      <c r="P82" s="6"/>
      <c r="Q82" s="7"/>
      <c r="R82" s="10"/>
      <c r="S82" s="29" t="str">
        <f t="shared" ca="1" si="14"/>
        <v/>
      </c>
      <c r="T82" s="7"/>
      <c r="U82" s="74"/>
      <c r="V82" s="101">
        <f>IF(OR(T82="",U82=""),0,IFERROR(INDEX(#REF!,MATCH(T82,#REF!,0))*U82,0))</f>
        <v>0</v>
      </c>
      <c r="W82" s="7"/>
      <c r="X82" s="74"/>
      <c r="Y82" s="101">
        <f>IF(OR(W82="",X82=""),0,IFERROR(INDEX(#REF!,MATCH(W82,#REF!,0))*X82,0))</f>
        <v>0</v>
      </c>
      <c r="Z82" s="7"/>
      <c r="AA82" s="74"/>
      <c r="AB82" s="101">
        <f>IF(OR(Z82="",AA82=""),0,IFERROR(INDEX(#REF!,MATCH(Z82,#REF!,0))*AA82,0))</f>
        <v>0</v>
      </c>
      <c r="AC82" s="7"/>
      <c r="AD82" s="74"/>
      <c r="AE82" s="101">
        <f>IF(OR(AC82="",AD82=""),0,IFERROR(INDEX(#REF!,MATCH(AC82,#REF!,0))*AD82,0))</f>
        <v>0</v>
      </c>
      <c r="AF82" s="7"/>
      <c r="AG82" s="74"/>
      <c r="AH82" s="101">
        <f>IF(OR(AF82="",AG82=""),0,IFERROR(INDEX(#REF!,MATCH(AF82,#REF!,0))*AG82,0))</f>
        <v>0</v>
      </c>
      <c r="AI82" s="7"/>
      <c r="AJ82" s="74"/>
      <c r="AK82" s="101">
        <f>IF(OR(AI82="",AJ82=""),0,IFERROR(INDEX(#REF!,MATCH(AI82,#REF!,0))*AJ82,0))</f>
        <v>0</v>
      </c>
      <c r="AL82" s="101">
        <f t="shared" si="15"/>
        <v>0</v>
      </c>
      <c r="AM82" s="7"/>
      <c r="AN82" s="72"/>
      <c r="AO82" s="99">
        <f>IF(OR(AM82="",AN82=""),0,IFERROR(INDEX(#REF!,MATCH(AM82,#REF!,0))*AN82,0))</f>
        <v>0</v>
      </c>
      <c r="AP82" s="7"/>
      <c r="AQ82" s="74"/>
      <c r="AR82" s="99">
        <f>IF(OR(AP82="",AQ82=""),0,IFERROR(INDEX(#REF!,MATCH(AP82,#REF!,0))*AQ82,0))</f>
        <v>0</v>
      </c>
      <c r="AS82" s="7"/>
      <c r="AT82" s="74"/>
      <c r="AU82" s="99">
        <f>IF(OR(AS82="",AT82=""),0,IFERROR(INDEX(#REF!,MATCH(AS82,#REF!,0))*AT82,0))</f>
        <v>0</v>
      </c>
      <c r="AV82" s="7"/>
      <c r="AW82" s="74"/>
      <c r="AX82" s="99">
        <f>IF(OR(AV82="",AW82=""),0,IFERROR(INDEX(#REF!,MATCH(AV82,#REF!,0))*AW82,0))</f>
        <v>0</v>
      </c>
      <c r="AY82" s="7"/>
      <c r="AZ82" s="77"/>
      <c r="BA82" s="99">
        <f>IF(OR(AY82="",AZ82=""),0,IFERROR(INDEX(#REF!,MATCH(AY82,#REF!,0))*AZ82,0))</f>
        <v>0</v>
      </c>
      <c r="BB82" s="100">
        <f t="shared" si="16"/>
        <v>0</v>
      </c>
      <c r="BC82" s="110" t="str">
        <f t="shared" si="17"/>
        <v/>
      </c>
      <c r="BD82" s="62"/>
    </row>
    <row r="83" spans="1:56" ht="19.5" customHeight="1" x14ac:dyDescent="0.45">
      <c r="A83" s="104" t="str">
        <f t="shared" si="9"/>
        <v/>
      </c>
      <c r="B83" s="5"/>
      <c r="C83" s="109"/>
      <c r="D83" s="107"/>
      <c r="E83" s="6"/>
      <c r="F83" s="85"/>
      <c r="G83" s="85"/>
      <c r="H83" s="104" t="str">
        <f t="shared" si="10"/>
        <v/>
      </c>
      <c r="I83" s="103" t="str">
        <f>IFERROR(INDEX(#REF!,MATCH(E83,#REF!,0)),"")</f>
        <v/>
      </c>
      <c r="J83" s="6"/>
      <c r="K83" s="103" t="str">
        <f t="shared" si="11"/>
        <v/>
      </c>
      <c r="L83" s="8"/>
      <c r="M83" s="102" t="str">
        <f t="shared" si="12"/>
        <v/>
      </c>
      <c r="N83" s="9"/>
      <c r="O83" s="103" t="str">
        <f t="shared" si="13"/>
        <v/>
      </c>
      <c r="P83" s="6"/>
      <c r="Q83" s="7"/>
      <c r="R83" s="10"/>
      <c r="S83" s="29" t="str">
        <f t="shared" ca="1" si="14"/>
        <v/>
      </c>
      <c r="T83" s="7"/>
      <c r="U83" s="74"/>
      <c r="V83" s="101">
        <f>IF(OR(T83="",U83=""),0,IFERROR(INDEX(#REF!,MATCH(T83,#REF!,0))*U83,0))</f>
        <v>0</v>
      </c>
      <c r="W83" s="7"/>
      <c r="X83" s="74"/>
      <c r="Y83" s="101">
        <f>IF(OR(W83="",X83=""),0,IFERROR(INDEX(#REF!,MATCH(W83,#REF!,0))*X83,0))</f>
        <v>0</v>
      </c>
      <c r="Z83" s="7"/>
      <c r="AA83" s="74"/>
      <c r="AB83" s="101">
        <f>IF(OR(Z83="",AA83=""),0,IFERROR(INDEX(#REF!,MATCH(Z83,#REF!,0))*AA83,0))</f>
        <v>0</v>
      </c>
      <c r="AC83" s="7"/>
      <c r="AD83" s="74"/>
      <c r="AE83" s="101">
        <f>IF(OR(AC83="",AD83=""),0,IFERROR(INDEX(#REF!,MATCH(AC83,#REF!,0))*AD83,0))</f>
        <v>0</v>
      </c>
      <c r="AF83" s="7"/>
      <c r="AG83" s="74"/>
      <c r="AH83" s="101">
        <f>IF(OR(AF83="",AG83=""),0,IFERROR(INDEX(#REF!,MATCH(AF83,#REF!,0))*AG83,0))</f>
        <v>0</v>
      </c>
      <c r="AI83" s="7"/>
      <c r="AJ83" s="74"/>
      <c r="AK83" s="101">
        <f>IF(OR(AI83="",AJ83=""),0,IFERROR(INDEX(#REF!,MATCH(AI83,#REF!,0))*AJ83,0))</f>
        <v>0</v>
      </c>
      <c r="AL83" s="101">
        <f t="shared" si="15"/>
        <v>0</v>
      </c>
      <c r="AM83" s="7"/>
      <c r="AN83" s="72"/>
      <c r="AO83" s="99">
        <f>IF(OR(AM83="",AN83=""),0,IFERROR(INDEX(#REF!,MATCH(AM83,#REF!,0))*AN83,0))</f>
        <v>0</v>
      </c>
      <c r="AP83" s="7"/>
      <c r="AQ83" s="74"/>
      <c r="AR83" s="99">
        <f>IF(OR(AP83="",AQ83=""),0,IFERROR(INDEX(#REF!,MATCH(AP83,#REF!,0))*AQ83,0))</f>
        <v>0</v>
      </c>
      <c r="AS83" s="7"/>
      <c r="AT83" s="74"/>
      <c r="AU83" s="99">
        <f>IF(OR(AS83="",AT83=""),0,IFERROR(INDEX(#REF!,MATCH(AS83,#REF!,0))*AT83,0))</f>
        <v>0</v>
      </c>
      <c r="AV83" s="7"/>
      <c r="AW83" s="74"/>
      <c r="AX83" s="99">
        <f>IF(OR(AV83="",AW83=""),0,IFERROR(INDEX(#REF!,MATCH(AV83,#REF!,0))*AW83,0))</f>
        <v>0</v>
      </c>
      <c r="AY83" s="7"/>
      <c r="AZ83" s="77"/>
      <c r="BA83" s="99">
        <f>IF(OR(AY83="",AZ83=""),0,IFERROR(INDEX(#REF!,MATCH(AY83,#REF!,0))*AZ83,0))</f>
        <v>0</v>
      </c>
      <c r="BB83" s="100">
        <f t="shared" si="16"/>
        <v>0</v>
      </c>
      <c r="BC83" s="110" t="str">
        <f t="shared" si="17"/>
        <v/>
      </c>
      <c r="BD83" s="62"/>
    </row>
    <row r="84" spans="1:56" ht="19.5" customHeight="1" x14ac:dyDescent="0.45">
      <c r="A84" s="104" t="str">
        <f t="shared" si="9"/>
        <v/>
      </c>
      <c r="B84" s="5"/>
      <c r="C84" s="109"/>
      <c r="D84" s="107"/>
      <c r="E84" s="6"/>
      <c r="F84" s="85"/>
      <c r="G84" s="85"/>
      <c r="H84" s="104" t="str">
        <f t="shared" si="10"/>
        <v/>
      </c>
      <c r="I84" s="103" t="str">
        <f>IFERROR(INDEX(#REF!,MATCH(E84,#REF!,0)),"")</f>
        <v/>
      </c>
      <c r="J84" s="6"/>
      <c r="K84" s="103" t="str">
        <f t="shared" si="11"/>
        <v/>
      </c>
      <c r="L84" s="8"/>
      <c r="M84" s="102" t="str">
        <f t="shared" si="12"/>
        <v/>
      </c>
      <c r="N84" s="9"/>
      <c r="O84" s="103" t="str">
        <f t="shared" si="13"/>
        <v/>
      </c>
      <c r="P84" s="6"/>
      <c r="Q84" s="7"/>
      <c r="R84" s="10"/>
      <c r="S84" s="29" t="str">
        <f t="shared" ca="1" si="14"/>
        <v/>
      </c>
      <c r="T84" s="7"/>
      <c r="U84" s="74"/>
      <c r="V84" s="101">
        <f>IF(OR(T84="",U84=""),0,IFERROR(INDEX(#REF!,MATCH(T84,#REF!,0))*U84,0))</f>
        <v>0</v>
      </c>
      <c r="W84" s="7"/>
      <c r="X84" s="74"/>
      <c r="Y84" s="101">
        <f>IF(OR(W84="",X84=""),0,IFERROR(INDEX(#REF!,MATCH(W84,#REF!,0))*X84,0))</f>
        <v>0</v>
      </c>
      <c r="Z84" s="7"/>
      <c r="AA84" s="74"/>
      <c r="AB84" s="101">
        <f>IF(OR(Z84="",AA84=""),0,IFERROR(INDEX(#REF!,MATCH(Z84,#REF!,0))*AA84,0))</f>
        <v>0</v>
      </c>
      <c r="AC84" s="7"/>
      <c r="AD84" s="74"/>
      <c r="AE84" s="101">
        <f>IF(OR(AC84="",AD84=""),0,IFERROR(INDEX(#REF!,MATCH(AC84,#REF!,0))*AD84,0))</f>
        <v>0</v>
      </c>
      <c r="AF84" s="7"/>
      <c r="AG84" s="74"/>
      <c r="AH84" s="101">
        <f>IF(OR(AF84="",AG84=""),0,IFERROR(INDEX(#REF!,MATCH(AF84,#REF!,0))*AG84,0))</f>
        <v>0</v>
      </c>
      <c r="AI84" s="7"/>
      <c r="AJ84" s="74"/>
      <c r="AK84" s="101">
        <f>IF(OR(AI84="",AJ84=""),0,IFERROR(INDEX(#REF!,MATCH(AI84,#REF!,0))*AJ84,0))</f>
        <v>0</v>
      </c>
      <c r="AL84" s="101">
        <f t="shared" si="15"/>
        <v>0</v>
      </c>
      <c r="AM84" s="7"/>
      <c r="AN84" s="72"/>
      <c r="AO84" s="99">
        <f>IF(OR(AM84="",AN84=""),0,IFERROR(INDEX(#REF!,MATCH(AM84,#REF!,0))*AN84,0))</f>
        <v>0</v>
      </c>
      <c r="AP84" s="7"/>
      <c r="AQ84" s="74"/>
      <c r="AR84" s="99">
        <f>IF(OR(AP84="",AQ84=""),0,IFERROR(INDEX(#REF!,MATCH(AP84,#REF!,0))*AQ84,0))</f>
        <v>0</v>
      </c>
      <c r="AS84" s="7"/>
      <c r="AT84" s="74"/>
      <c r="AU84" s="99">
        <f>IF(OR(AS84="",AT84=""),0,IFERROR(INDEX(#REF!,MATCH(AS84,#REF!,0))*AT84,0))</f>
        <v>0</v>
      </c>
      <c r="AV84" s="7"/>
      <c r="AW84" s="74"/>
      <c r="AX84" s="99">
        <f>IF(OR(AV84="",AW84=""),0,IFERROR(INDEX(#REF!,MATCH(AV84,#REF!,0))*AW84,0))</f>
        <v>0</v>
      </c>
      <c r="AY84" s="7"/>
      <c r="AZ84" s="77"/>
      <c r="BA84" s="99">
        <f>IF(OR(AY84="",AZ84=""),0,IFERROR(INDEX(#REF!,MATCH(AY84,#REF!,0))*AZ84,0))</f>
        <v>0</v>
      </c>
      <c r="BB84" s="100">
        <f t="shared" si="16"/>
        <v>0</v>
      </c>
      <c r="BC84" s="110" t="str">
        <f t="shared" si="17"/>
        <v/>
      </c>
      <c r="BD84" s="62"/>
    </row>
    <row r="85" spans="1:56" ht="19.5" customHeight="1" x14ac:dyDescent="0.45">
      <c r="A85" s="104" t="str">
        <f t="shared" ref="A85:A148" si="18">IF(B85="","","BK-"&amp;TEXT(ROW()-4,"0000"))</f>
        <v/>
      </c>
      <c r="B85" s="5"/>
      <c r="C85" s="109"/>
      <c r="D85" s="107"/>
      <c r="E85" s="6"/>
      <c r="F85" s="85"/>
      <c r="G85" s="85"/>
      <c r="H85" s="104" t="str">
        <f t="shared" si="10"/>
        <v/>
      </c>
      <c r="I85" s="103" t="str">
        <f>IFERROR(INDEX(#REF!,MATCH(E85,#REF!,0)),"")</f>
        <v/>
      </c>
      <c r="J85" s="6"/>
      <c r="K85" s="103" t="str">
        <f t="shared" si="11"/>
        <v/>
      </c>
      <c r="L85" s="8"/>
      <c r="M85" s="102" t="str">
        <f t="shared" si="12"/>
        <v/>
      </c>
      <c r="N85" s="9"/>
      <c r="O85" s="103" t="str">
        <f t="shared" si="13"/>
        <v/>
      </c>
      <c r="P85" s="6"/>
      <c r="Q85" s="7"/>
      <c r="R85" s="10"/>
      <c r="S85" s="29" t="str">
        <f t="shared" ca="1" si="14"/>
        <v/>
      </c>
      <c r="T85" s="7"/>
      <c r="U85" s="74"/>
      <c r="V85" s="101">
        <f>IF(OR(T85="",U85=""),0,IFERROR(INDEX(#REF!,MATCH(T85,#REF!,0))*U85,0))</f>
        <v>0</v>
      </c>
      <c r="W85" s="7"/>
      <c r="X85" s="74"/>
      <c r="Y85" s="101">
        <f>IF(OR(W85="",X85=""),0,IFERROR(INDEX(#REF!,MATCH(W85,#REF!,0))*X85,0))</f>
        <v>0</v>
      </c>
      <c r="Z85" s="7"/>
      <c r="AA85" s="74"/>
      <c r="AB85" s="101">
        <f>IF(OR(Z85="",AA85=""),0,IFERROR(INDEX(#REF!,MATCH(Z85,#REF!,0))*AA85,0))</f>
        <v>0</v>
      </c>
      <c r="AC85" s="7"/>
      <c r="AD85" s="74"/>
      <c r="AE85" s="101">
        <f>IF(OR(AC85="",AD85=""),0,IFERROR(INDEX(#REF!,MATCH(AC85,#REF!,0))*AD85,0))</f>
        <v>0</v>
      </c>
      <c r="AF85" s="7"/>
      <c r="AG85" s="74"/>
      <c r="AH85" s="101">
        <f>IF(OR(AF85="",AG85=""),0,IFERROR(INDEX(#REF!,MATCH(AF85,#REF!,0))*AG85,0))</f>
        <v>0</v>
      </c>
      <c r="AI85" s="7"/>
      <c r="AJ85" s="74"/>
      <c r="AK85" s="101">
        <f>IF(OR(AI85="",AJ85=""),0,IFERROR(INDEX(#REF!,MATCH(AI85,#REF!,0))*AJ85,0))</f>
        <v>0</v>
      </c>
      <c r="AL85" s="101">
        <f t="shared" si="15"/>
        <v>0</v>
      </c>
      <c r="AM85" s="7"/>
      <c r="AN85" s="72"/>
      <c r="AO85" s="99">
        <f>IF(OR(AM85="",AN85=""),0,IFERROR(INDEX(#REF!,MATCH(AM85,#REF!,0))*AN85,0))</f>
        <v>0</v>
      </c>
      <c r="AP85" s="7"/>
      <c r="AQ85" s="74"/>
      <c r="AR85" s="99">
        <f>IF(OR(AP85="",AQ85=""),0,IFERROR(INDEX(#REF!,MATCH(AP85,#REF!,0))*AQ85,0))</f>
        <v>0</v>
      </c>
      <c r="AS85" s="7"/>
      <c r="AT85" s="74"/>
      <c r="AU85" s="99">
        <f>IF(OR(AS85="",AT85=""),0,IFERROR(INDEX(#REF!,MATCH(AS85,#REF!,0))*AT85,0))</f>
        <v>0</v>
      </c>
      <c r="AV85" s="7"/>
      <c r="AW85" s="74"/>
      <c r="AX85" s="99">
        <f>IF(OR(AV85="",AW85=""),0,IFERROR(INDEX(#REF!,MATCH(AV85,#REF!,0))*AW85,0))</f>
        <v>0</v>
      </c>
      <c r="AY85" s="7"/>
      <c r="AZ85" s="77"/>
      <c r="BA85" s="99">
        <f>IF(OR(AY85="",AZ85=""),0,IFERROR(INDEX(#REF!,MATCH(AY85,#REF!,0))*AZ85,0))</f>
        <v>0</v>
      </c>
      <c r="BB85" s="100">
        <f t="shared" si="16"/>
        <v>0</v>
      </c>
      <c r="BC85" s="110" t="str">
        <f t="shared" si="17"/>
        <v/>
      </c>
      <c r="BD85" s="62"/>
    </row>
    <row r="86" spans="1:56" ht="19.5" customHeight="1" x14ac:dyDescent="0.45">
      <c r="A86" s="104" t="str">
        <f t="shared" si="18"/>
        <v/>
      </c>
      <c r="B86" s="5"/>
      <c r="C86" s="109"/>
      <c r="D86" s="107"/>
      <c r="E86" s="6"/>
      <c r="F86" s="85"/>
      <c r="G86" s="85"/>
      <c r="H86" s="104" t="str">
        <f t="shared" si="10"/>
        <v/>
      </c>
      <c r="I86" s="103" t="str">
        <f>IFERROR(INDEX(#REF!,MATCH(E86,#REF!,0)),"")</f>
        <v/>
      </c>
      <c r="J86" s="6"/>
      <c r="K86" s="103" t="str">
        <f t="shared" si="11"/>
        <v/>
      </c>
      <c r="L86" s="8"/>
      <c r="M86" s="102" t="str">
        <f t="shared" si="12"/>
        <v/>
      </c>
      <c r="N86" s="9"/>
      <c r="O86" s="103" t="str">
        <f t="shared" si="13"/>
        <v/>
      </c>
      <c r="P86" s="6"/>
      <c r="Q86" s="7"/>
      <c r="R86" s="10"/>
      <c r="S86" s="29" t="str">
        <f t="shared" ca="1" si="14"/>
        <v/>
      </c>
      <c r="T86" s="7"/>
      <c r="U86" s="74"/>
      <c r="V86" s="101">
        <f>IF(OR(T86="",U86=""),0,IFERROR(INDEX(#REF!,MATCH(T86,#REF!,0))*U86,0))</f>
        <v>0</v>
      </c>
      <c r="W86" s="7"/>
      <c r="X86" s="74"/>
      <c r="Y86" s="101">
        <f>IF(OR(W86="",X86=""),0,IFERROR(INDEX(#REF!,MATCH(W86,#REF!,0))*X86,0))</f>
        <v>0</v>
      </c>
      <c r="Z86" s="7"/>
      <c r="AA86" s="74"/>
      <c r="AB86" s="101">
        <f>IF(OR(Z86="",AA86=""),0,IFERROR(INDEX(#REF!,MATCH(Z86,#REF!,0))*AA86,0))</f>
        <v>0</v>
      </c>
      <c r="AC86" s="7"/>
      <c r="AD86" s="74"/>
      <c r="AE86" s="101">
        <f>IF(OR(AC86="",AD86=""),0,IFERROR(INDEX(#REF!,MATCH(AC86,#REF!,0))*AD86,0))</f>
        <v>0</v>
      </c>
      <c r="AF86" s="7"/>
      <c r="AG86" s="74"/>
      <c r="AH86" s="101">
        <f>IF(OR(AF86="",AG86=""),0,IFERROR(INDEX(#REF!,MATCH(AF86,#REF!,0))*AG86,0))</f>
        <v>0</v>
      </c>
      <c r="AI86" s="7"/>
      <c r="AJ86" s="74"/>
      <c r="AK86" s="101">
        <f>IF(OR(AI86="",AJ86=""),0,IFERROR(INDEX(#REF!,MATCH(AI86,#REF!,0))*AJ86,0))</f>
        <v>0</v>
      </c>
      <c r="AL86" s="101">
        <f t="shared" si="15"/>
        <v>0</v>
      </c>
      <c r="AM86" s="7"/>
      <c r="AN86" s="72"/>
      <c r="AO86" s="99">
        <f>IF(OR(AM86="",AN86=""),0,IFERROR(INDEX(#REF!,MATCH(AM86,#REF!,0))*AN86,0))</f>
        <v>0</v>
      </c>
      <c r="AP86" s="7"/>
      <c r="AQ86" s="74"/>
      <c r="AR86" s="99">
        <f>IF(OR(AP86="",AQ86=""),0,IFERROR(INDEX(#REF!,MATCH(AP86,#REF!,0))*AQ86,0))</f>
        <v>0</v>
      </c>
      <c r="AS86" s="7"/>
      <c r="AT86" s="74"/>
      <c r="AU86" s="99">
        <f>IF(OR(AS86="",AT86=""),0,IFERROR(INDEX(#REF!,MATCH(AS86,#REF!,0))*AT86,0))</f>
        <v>0</v>
      </c>
      <c r="AV86" s="7"/>
      <c r="AW86" s="74"/>
      <c r="AX86" s="99">
        <f>IF(OR(AV86="",AW86=""),0,IFERROR(INDEX(#REF!,MATCH(AV86,#REF!,0))*AW86,0))</f>
        <v>0</v>
      </c>
      <c r="AY86" s="7"/>
      <c r="AZ86" s="77"/>
      <c r="BA86" s="99">
        <f>IF(OR(AY86="",AZ86=""),0,IFERROR(INDEX(#REF!,MATCH(AY86,#REF!,0))*AZ86,0))</f>
        <v>0</v>
      </c>
      <c r="BB86" s="100">
        <f t="shared" si="16"/>
        <v>0</v>
      </c>
      <c r="BC86" s="110" t="str">
        <f t="shared" si="17"/>
        <v/>
      </c>
      <c r="BD86" s="62"/>
    </row>
    <row r="87" spans="1:56" ht="19.5" customHeight="1" x14ac:dyDescent="0.45">
      <c r="A87" s="104" t="str">
        <f t="shared" si="18"/>
        <v/>
      </c>
      <c r="B87" s="5"/>
      <c r="C87" s="109"/>
      <c r="D87" s="107"/>
      <c r="E87" s="6"/>
      <c r="F87" s="85"/>
      <c r="G87" s="85"/>
      <c r="H87" s="104" t="str">
        <f t="shared" si="10"/>
        <v/>
      </c>
      <c r="I87" s="103" t="str">
        <f>IFERROR(INDEX(#REF!,MATCH(E87,#REF!,0)),"")</f>
        <v/>
      </c>
      <c r="J87" s="6"/>
      <c r="K87" s="103" t="str">
        <f t="shared" si="11"/>
        <v/>
      </c>
      <c r="L87" s="8"/>
      <c r="M87" s="102" t="str">
        <f t="shared" si="12"/>
        <v/>
      </c>
      <c r="N87" s="9"/>
      <c r="O87" s="103" t="str">
        <f t="shared" si="13"/>
        <v/>
      </c>
      <c r="P87" s="6"/>
      <c r="Q87" s="7"/>
      <c r="R87" s="10"/>
      <c r="S87" s="29" t="str">
        <f t="shared" ca="1" si="14"/>
        <v/>
      </c>
      <c r="T87" s="7"/>
      <c r="U87" s="74"/>
      <c r="V87" s="101">
        <f>IF(OR(T87="",U87=""),0,IFERROR(INDEX(#REF!,MATCH(T87,#REF!,0))*U87,0))</f>
        <v>0</v>
      </c>
      <c r="W87" s="7"/>
      <c r="X87" s="74"/>
      <c r="Y87" s="101">
        <f>IF(OR(W87="",X87=""),0,IFERROR(INDEX(#REF!,MATCH(W87,#REF!,0))*X87,0))</f>
        <v>0</v>
      </c>
      <c r="Z87" s="7"/>
      <c r="AA87" s="74"/>
      <c r="AB87" s="101">
        <f>IF(OR(Z87="",AA87=""),0,IFERROR(INDEX(#REF!,MATCH(Z87,#REF!,0))*AA87,0))</f>
        <v>0</v>
      </c>
      <c r="AC87" s="7"/>
      <c r="AD87" s="74"/>
      <c r="AE87" s="101">
        <f>IF(OR(AC87="",AD87=""),0,IFERROR(INDEX(#REF!,MATCH(AC87,#REF!,0))*AD87,0))</f>
        <v>0</v>
      </c>
      <c r="AF87" s="7"/>
      <c r="AG87" s="74"/>
      <c r="AH87" s="101">
        <f>IF(OR(AF87="",AG87=""),0,IFERROR(INDEX(#REF!,MATCH(AF87,#REF!,0))*AG87,0))</f>
        <v>0</v>
      </c>
      <c r="AI87" s="7"/>
      <c r="AJ87" s="74"/>
      <c r="AK87" s="101">
        <f>IF(OR(AI87="",AJ87=""),0,IFERROR(INDEX(#REF!,MATCH(AI87,#REF!,0))*AJ87,0))</f>
        <v>0</v>
      </c>
      <c r="AL87" s="101">
        <f t="shared" si="15"/>
        <v>0</v>
      </c>
      <c r="AM87" s="7"/>
      <c r="AN87" s="72"/>
      <c r="AO87" s="99">
        <f>IF(OR(AM87="",AN87=""),0,IFERROR(INDEX(#REF!,MATCH(AM87,#REF!,0))*AN87,0))</f>
        <v>0</v>
      </c>
      <c r="AP87" s="7"/>
      <c r="AQ87" s="74"/>
      <c r="AR87" s="99">
        <f>IF(OR(AP87="",AQ87=""),0,IFERROR(INDEX(#REF!,MATCH(AP87,#REF!,0))*AQ87,0))</f>
        <v>0</v>
      </c>
      <c r="AS87" s="7"/>
      <c r="AT87" s="74"/>
      <c r="AU87" s="99">
        <f>IF(OR(AS87="",AT87=""),0,IFERROR(INDEX(#REF!,MATCH(AS87,#REF!,0))*AT87,0))</f>
        <v>0</v>
      </c>
      <c r="AV87" s="7"/>
      <c r="AW87" s="74"/>
      <c r="AX87" s="99">
        <f>IF(OR(AV87="",AW87=""),0,IFERROR(INDEX(#REF!,MATCH(AV87,#REF!,0))*AW87,0))</f>
        <v>0</v>
      </c>
      <c r="AY87" s="7"/>
      <c r="AZ87" s="77"/>
      <c r="BA87" s="99">
        <f>IF(OR(AY87="",AZ87=""),0,IFERROR(INDEX(#REF!,MATCH(AY87,#REF!,0))*AZ87,0))</f>
        <v>0</v>
      </c>
      <c r="BB87" s="100">
        <f t="shared" si="16"/>
        <v>0</v>
      </c>
      <c r="BC87" s="110" t="str">
        <f t="shared" si="17"/>
        <v/>
      </c>
      <c r="BD87" s="62"/>
    </row>
    <row r="88" spans="1:56" ht="19.5" customHeight="1" x14ac:dyDescent="0.45">
      <c r="A88" s="104" t="str">
        <f t="shared" si="18"/>
        <v/>
      </c>
      <c r="B88" s="5"/>
      <c r="C88" s="109"/>
      <c r="D88" s="107"/>
      <c r="E88" s="6"/>
      <c r="F88" s="85"/>
      <c r="G88" s="85"/>
      <c r="H88" s="104" t="str">
        <f t="shared" si="10"/>
        <v/>
      </c>
      <c r="I88" s="103" t="str">
        <f>IFERROR(INDEX(#REF!,MATCH(E88,#REF!,0)),"")</f>
        <v/>
      </c>
      <c r="J88" s="6"/>
      <c r="K88" s="103" t="str">
        <f t="shared" si="11"/>
        <v/>
      </c>
      <c r="L88" s="8"/>
      <c r="M88" s="102" t="str">
        <f t="shared" si="12"/>
        <v/>
      </c>
      <c r="N88" s="9"/>
      <c r="O88" s="103" t="str">
        <f t="shared" si="13"/>
        <v/>
      </c>
      <c r="P88" s="6"/>
      <c r="Q88" s="7"/>
      <c r="R88" s="10"/>
      <c r="S88" s="29" t="str">
        <f t="shared" ca="1" si="14"/>
        <v/>
      </c>
      <c r="T88" s="7"/>
      <c r="U88" s="74"/>
      <c r="V88" s="101">
        <f>IF(OR(T88="",U88=""),0,IFERROR(INDEX(#REF!,MATCH(T88,#REF!,0))*U88,0))</f>
        <v>0</v>
      </c>
      <c r="W88" s="7"/>
      <c r="X88" s="74"/>
      <c r="Y88" s="101">
        <f>IF(OR(W88="",X88=""),0,IFERROR(INDEX(#REF!,MATCH(W88,#REF!,0))*X88,0))</f>
        <v>0</v>
      </c>
      <c r="Z88" s="7"/>
      <c r="AA88" s="74"/>
      <c r="AB88" s="101">
        <f>IF(OR(Z88="",AA88=""),0,IFERROR(INDEX(#REF!,MATCH(Z88,#REF!,0))*AA88,0))</f>
        <v>0</v>
      </c>
      <c r="AC88" s="7"/>
      <c r="AD88" s="74"/>
      <c r="AE88" s="101">
        <f>IF(OR(AC88="",AD88=""),0,IFERROR(INDEX(#REF!,MATCH(AC88,#REF!,0))*AD88,0))</f>
        <v>0</v>
      </c>
      <c r="AF88" s="7"/>
      <c r="AG88" s="74"/>
      <c r="AH88" s="101">
        <f>IF(OR(AF88="",AG88=""),0,IFERROR(INDEX(#REF!,MATCH(AF88,#REF!,0))*AG88,0))</f>
        <v>0</v>
      </c>
      <c r="AI88" s="7"/>
      <c r="AJ88" s="74"/>
      <c r="AK88" s="101">
        <f>IF(OR(AI88="",AJ88=""),0,IFERROR(INDEX(#REF!,MATCH(AI88,#REF!,0))*AJ88,0))</f>
        <v>0</v>
      </c>
      <c r="AL88" s="101">
        <f t="shared" si="15"/>
        <v>0</v>
      </c>
      <c r="AM88" s="7"/>
      <c r="AN88" s="72"/>
      <c r="AO88" s="99">
        <f>IF(OR(AM88="",AN88=""),0,IFERROR(INDEX(#REF!,MATCH(AM88,#REF!,0))*AN88,0))</f>
        <v>0</v>
      </c>
      <c r="AP88" s="7"/>
      <c r="AQ88" s="74"/>
      <c r="AR88" s="99">
        <f>IF(OR(AP88="",AQ88=""),0,IFERROR(INDEX(#REF!,MATCH(AP88,#REF!,0))*AQ88,0))</f>
        <v>0</v>
      </c>
      <c r="AS88" s="7"/>
      <c r="AT88" s="74"/>
      <c r="AU88" s="99">
        <f>IF(OR(AS88="",AT88=""),0,IFERROR(INDEX(#REF!,MATCH(AS88,#REF!,0))*AT88,0))</f>
        <v>0</v>
      </c>
      <c r="AV88" s="7"/>
      <c r="AW88" s="74"/>
      <c r="AX88" s="99">
        <f>IF(OR(AV88="",AW88=""),0,IFERROR(INDEX(#REF!,MATCH(AV88,#REF!,0))*AW88,0))</f>
        <v>0</v>
      </c>
      <c r="AY88" s="7"/>
      <c r="AZ88" s="77"/>
      <c r="BA88" s="99">
        <f>IF(OR(AY88="",AZ88=""),0,IFERROR(INDEX(#REF!,MATCH(AY88,#REF!,0))*AZ88,0))</f>
        <v>0</v>
      </c>
      <c r="BB88" s="100">
        <f t="shared" si="16"/>
        <v>0</v>
      </c>
      <c r="BC88" s="110" t="str">
        <f t="shared" si="17"/>
        <v/>
      </c>
      <c r="BD88" s="62"/>
    </row>
    <row r="89" spans="1:56" ht="19.5" customHeight="1" x14ac:dyDescent="0.45">
      <c r="A89" s="104" t="str">
        <f t="shared" si="18"/>
        <v/>
      </c>
      <c r="B89" s="5"/>
      <c r="C89" s="109"/>
      <c r="D89" s="107"/>
      <c r="E89" s="6"/>
      <c r="F89" s="85"/>
      <c r="G89" s="85"/>
      <c r="H89" s="104" t="str">
        <f t="shared" si="10"/>
        <v/>
      </c>
      <c r="I89" s="103" t="str">
        <f>IFERROR(INDEX(#REF!,MATCH(E89,#REF!,0)),"")</f>
        <v/>
      </c>
      <c r="J89" s="6"/>
      <c r="K89" s="103" t="str">
        <f t="shared" si="11"/>
        <v/>
      </c>
      <c r="L89" s="8"/>
      <c r="M89" s="102" t="str">
        <f t="shared" si="12"/>
        <v/>
      </c>
      <c r="N89" s="9"/>
      <c r="O89" s="103" t="str">
        <f t="shared" si="13"/>
        <v/>
      </c>
      <c r="P89" s="6"/>
      <c r="Q89" s="7"/>
      <c r="R89" s="10"/>
      <c r="S89" s="29" t="str">
        <f t="shared" ca="1" si="14"/>
        <v/>
      </c>
      <c r="T89" s="7"/>
      <c r="U89" s="74"/>
      <c r="V89" s="101">
        <f>IF(OR(T89="",U89=""),0,IFERROR(INDEX(#REF!,MATCH(T89,#REF!,0))*U89,0))</f>
        <v>0</v>
      </c>
      <c r="W89" s="7"/>
      <c r="X89" s="74"/>
      <c r="Y89" s="101">
        <f>IF(OR(W89="",X89=""),0,IFERROR(INDEX(#REF!,MATCH(W89,#REF!,0))*X89,0))</f>
        <v>0</v>
      </c>
      <c r="Z89" s="7"/>
      <c r="AA89" s="74"/>
      <c r="AB89" s="101">
        <f>IF(OR(Z89="",AA89=""),0,IFERROR(INDEX(#REF!,MATCH(Z89,#REF!,0))*AA89,0))</f>
        <v>0</v>
      </c>
      <c r="AC89" s="7"/>
      <c r="AD89" s="74"/>
      <c r="AE89" s="101">
        <f>IF(OR(AC89="",AD89=""),0,IFERROR(INDEX(#REF!,MATCH(AC89,#REF!,0))*AD89,0))</f>
        <v>0</v>
      </c>
      <c r="AF89" s="7"/>
      <c r="AG89" s="74"/>
      <c r="AH89" s="101">
        <f>IF(OR(AF89="",AG89=""),0,IFERROR(INDEX(#REF!,MATCH(AF89,#REF!,0))*AG89,0))</f>
        <v>0</v>
      </c>
      <c r="AI89" s="7"/>
      <c r="AJ89" s="74"/>
      <c r="AK89" s="101">
        <f>IF(OR(AI89="",AJ89=""),0,IFERROR(INDEX(#REF!,MATCH(AI89,#REF!,0))*AJ89,0))</f>
        <v>0</v>
      </c>
      <c r="AL89" s="101">
        <f t="shared" si="15"/>
        <v>0</v>
      </c>
      <c r="AM89" s="7"/>
      <c r="AN89" s="72"/>
      <c r="AO89" s="99">
        <f>IF(OR(AM89="",AN89=""),0,IFERROR(INDEX(#REF!,MATCH(AM89,#REF!,0))*AN89,0))</f>
        <v>0</v>
      </c>
      <c r="AP89" s="7"/>
      <c r="AQ89" s="74"/>
      <c r="AR89" s="99">
        <f>IF(OR(AP89="",AQ89=""),0,IFERROR(INDEX(#REF!,MATCH(AP89,#REF!,0))*AQ89,0))</f>
        <v>0</v>
      </c>
      <c r="AS89" s="7"/>
      <c r="AT89" s="74"/>
      <c r="AU89" s="99">
        <f>IF(OR(AS89="",AT89=""),0,IFERROR(INDEX(#REF!,MATCH(AS89,#REF!,0))*AT89,0))</f>
        <v>0</v>
      </c>
      <c r="AV89" s="7"/>
      <c r="AW89" s="74"/>
      <c r="AX89" s="99">
        <f>IF(OR(AV89="",AW89=""),0,IFERROR(INDEX(#REF!,MATCH(AV89,#REF!,0))*AW89,0))</f>
        <v>0</v>
      </c>
      <c r="AY89" s="7"/>
      <c r="AZ89" s="77"/>
      <c r="BA89" s="99">
        <f>IF(OR(AY89="",AZ89=""),0,IFERROR(INDEX(#REF!,MATCH(AY89,#REF!,0))*AZ89,0))</f>
        <v>0</v>
      </c>
      <c r="BB89" s="100">
        <f t="shared" si="16"/>
        <v>0</v>
      </c>
      <c r="BC89" s="110" t="str">
        <f t="shared" si="17"/>
        <v/>
      </c>
      <c r="BD89" s="62"/>
    </row>
    <row r="90" spans="1:56" ht="19.5" customHeight="1" x14ac:dyDescent="0.45">
      <c r="A90" s="104" t="str">
        <f t="shared" si="18"/>
        <v/>
      </c>
      <c r="B90" s="5"/>
      <c r="C90" s="109"/>
      <c r="D90" s="107"/>
      <c r="E90" s="6"/>
      <c r="F90" s="85"/>
      <c r="G90" s="85"/>
      <c r="H90" s="104" t="str">
        <f t="shared" si="10"/>
        <v/>
      </c>
      <c r="I90" s="103" t="str">
        <f>IFERROR(INDEX(#REF!,MATCH(E90,#REF!,0)),"")</f>
        <v/>
      </c>
      <c r="J90" s="6"/>
      <c r="K90" s="103" t="str">
        <f t="shared" si="11"/>
        <v/>
      </c>
      <c r="L90" s="8"/>
      <c r="M90" s="102" t="str">
        <f t="shared" si="12"/>
        <v/>
      </c>
      <c r="N90" s="9"/>
      <c r="O90" s="103" t="str">
        <f t="shared" si="13"/>
        <v/>
      </c>
      <c r="P90" s="6"/>
      <c r="Q90" s="7"/>
      <c r="R90" s="10"/>
      <c r="S90" s="29" t="str">
        <f t="shared" ca="1" si="14"/>
        <v/>
      </c>
      <c r="T90" s="7"/>
      <c r="U90" s="74"/>
      <c r="V90" s="101">
        <f>IF(OR(T90="",U90=""),0,IFERROR(INDEX(#REF!,MATCH(T90,#REF!,0))*U90,0))</f>
        <v>0</v>
      </c>
      <c r="W90" s="7"/>
      <c r="X90" s="74"/>
      <c r="Y90" s="101">
        <f>IF(OR(W90="",X90=""),0,IFERROR(INDEX(#REF!,MATCH(W90,#REF!,0))*X90,0))</f>
        <v>0</v>
      </c>
      <c r="Z90" s="7"/>
      <c r="AA90" s="74"/>
      <c r="AB90" s="101">
        <f>IF(OR(Z90="",AA90=""),0,IFERROR(INDEX(#REF!,MATCH(Z90,#REF!,0))*AA90,0))</f>
        <v>0</v>
      </c>
      <c r="AC90" s="7"/>
      <c r="AD90" s="74"/>
      <c r="AE90" s="101">
        <f>IF(OR(AC90="",AD90=""),0,IFERROR(INDEX(#REF!,MATCH(AC90,#REF!,0))*AD90,0))</f>
        <v>0</v>
      </c>
      <c r="AF90" s="7"/>
      <c r="AG90" s="74"/>
      <c r="AH90" s="101">
        <f>IF(OR(AF90="",AG90=""),0,IFERROR(INDEX(#REF!,MATCH(AF90,#REF!,0))*AG90,0))</f>
        <v>0</v>
      </c>
      <c r="AI90" s="7"/>
      <c r="AJ90" s="74"/>
      <c r="AK90" s="101">
        <f>IF(OR(AI90="",AJ90=""),0,IFERROR(INDEX(#REF!,MATCH(AI90,#REF!,0))*AJ90,0))</f>
        <v>0</v>
      </c>
      <c r="AL90" s="101">
        <f t="shared" si="15"/>
        <v>0</v>
      </c>
      <c r="AM90" s="7"/>
      <c r="AN90" s="72"/>
      <c r="AO90" s="99">
        <f>IF(OR(AM90="",AN90=""),0,IFERROR(INDEX(#REF!,MATCH(AM90,#REF!,0))*AN90,0))</f>
        <v>0</v>
      </c>
      <c r="AP90" s="7"/>
      <c r="AQ90" s="74"/>
      <c r="AR90" s="99">
        <f>IF(OR(AP90="",AQ90=""),0,IFERROR(INDEX(#REF!,MATCH(AP90,#REF!,0))*AQ90,0))</f>
        <v>0</v>
      </c>
      <c r="AS90" s="7"/>
      <c r="AT90" s="74"/>
      <c r="AU90" s="99">
        <f>IF(OR(AS90="",AT90=""),0,IFERROR(INDEX(#REF!,MATCH(AS90,#REF!,0))*AT90,0))</f>
        <v>0</v>
      </c>
      <c r="AV90" s="7"/>
      <c r="AW90" s="74"/>
      <c r="AX90" s="99">
        <f>IF(OR(AV90="",AW90=""),0,IFERROR(INDEX(#REF!,MATCH(AV90,#REF!,0))*AW90,0))</f>
        <v>0</v>
      </c>
      <c r="AY90" s="7"/>
      <c r="AZ90" s="77"/>
      <c r="BA90" s="99">
        <f>IF(OR(AY90="",AZ90=""),0,IFERROR(INDEX(#REF!,MATCH(AY90,#REF!,0))*AZ90,0))</f>
        <v>0</v>
      </c>
      <c r="BB90" s="100">
        <f t="shared" si="16"/>
        <v>0</v>
      </c>
      <c r="BC90" s="110" t="str">
        <f t="shared" si="17"/>
        <v/>
      </c>
      <c r="BD90" s="62"/>
    </row>
    <row r="91" spans="1:56" ht="19.5" customHeight="1" x14ac:dyDescent="0.45">
      <c r="A91" s="104" t="str">
        <f t="shared" si="18"/>
        <v/>
      </c>
      <c r="B91" s="5"/>
      <c r="C91" s="109"/>
      <c r="D91" s="107"/>
      <c r="E91" s="6"/>
      <c r="F91" s="85"/>
      <c r="G91" s="85"/>
      <c r="H91" s="104" t="str">
        <f t="shared" si="10"/>
        <v/>
      </c>
      <c r="I91" s="103" t="str">
        <f>IFERROR(INDEX(#REF!,MATCH(E91,#REF!,0)),"")</f>
        <v/>
      </c>
      <c r="J91" s="6"/>
      <c r="K91" s="103" t="str">
        <f t="shared" si="11"/>
        <v/>
      </c>
      <c r="L91" s="8"/>
      <c r="M91" s="102" t="str">
        <f t="shared" si="12"/>
        <v/>
      </c>
      <c r="N91" s="9"/>
      <c r="O91" s="103" t="str">
        <f t="shared" si="13"/>
        <v/>
      </c>
      <c r="P91" s="6"/>
      <c r="Q91" s="7"/>
      <c r="R91" s="10"/>
      <c r="S91" s="29" t="str">
        <f t="shared" ca="1" si="14"/>
        <v/>
      </c>
      <c r="T91" s="7"/>
      <c r="U91" s="74"/>
      <c r="V91" s="101">
        <f>IF(OR(T91="",U91=""),0,IFERROR(INDEX(#REF!,MATCH(T91,#REF!,0))*U91,0))</f>
        <v>0</v>
      </c>
      <c r="W91" s="7"/>
      <c r="X91" s="74"/>
      <c r="Y91" s="101">
        <f>IF(OR(W91="",X91=""),0,IFERROR(INDEX(#REF!,MATCH(W91,#REF!,0))*X91,0))</f>
        <v>0</v>
      </c>
      <c r="Z91" s="7"/>
      <c r="AA91" s="74"/>
      <c r="AB91" s="101">
        <f>IF(OR(Z91="",AA91=""),0,IFERROR(INDEX(#REF!,MATCH(Z91,#REF!,0))*AA91,0))</f>
        <v>0</v>
      </c>
      <c r="AC91" s="7"/>
      <c r="AD91" s="74"/>
      <c r="AE91" s="101">
        <f>IF(OR(AC91="",AD91=""),0,IFERROR(INDEX(#REF!,MATCH(AC91,#REF!,0))*AD91,0))</f>
        <v>0</v>
      </c>
      <c r="AF91" s="7"/>
      <c r="AG91" s="74"/>
      <c r="AH91" s="101">
        <f>IF(OR(AF91="",AG91=""),0,IFERROR(INDEX(#REF!,MATCH(AF91,#REF!,0))*AG91,0))</f>
        <v>0</v>
      </c>
      <c r="AI91" s="7"/>
      <c r="AJ91" s="74"/>
      <c r="AK91" s="101">
        <f>IF(OR(AI91="",AJ91=""),0,IFERROR(INDEX(#REF!,MATCH(AI91,#REF!,0))*AJ91,0))</f>
        <v>0</v>
      </c>
      <c r="AL91" s="101">
        <f t="shared" si="15"/>
        <v>0</v>
      </c>
      <c r="AM91" s="7"/>
      <c r="AN91" s="72"/>
      <c r="AO91" s="99">
        <f>IF(OR(AM91="",AN91=""),0,IFERROR(INDEX(#REF!,MATCH(AM91,#REF!,0))*AN91,0))</f>
        <v>0</v>
      </c>
      <c r="AP91" s="7"/>
      <c r="AQ91" s="74"/>
      <c r="AR91" s="99">
        <f>IF(OR(AP91="",AQ91=""),0,IFERROR(INDEX(#REF!,MATCH(AP91,#REF!,0))*AQ91,0))</f>
        <v>0</v>
      </c>
      <c r="AS91" s="7"/>
      <c r="AT91" s="74"/>
      <c r="AU91" s="99">
        <f>IF(OR(AS91="",AT91=""),0,IFERROR(INDEX(#REF!,MATCH(AS91,#REF!,0))*AT91,0))</f>
        <v>0</v>
      </c>
      <c r="AV91" s="7"/>
      <c r="AW91" s="74"/>
      <c r="AX91" s="99">
        <f>IF(OR(AV91="",AW91=""),0,IFERROR(INDEX(#REF!,MATCH(AV91,#REF!,0))*AW91,0))</f>
        <v>0</v>
      </c>
      <c r="AY91" s="7"/>
      <c r="AZ91" s="77"/>
      <c r="BA91" s="99">
        <f>IF(OR(AY91="",AZ91=""),0,IFERROR(INDEX(#REF!,MATCH(AY91,#REF!,0))*AZ91,0))</f>
        <v>0</v>
      </c>
      <c r="BB91" s="100">
        <f t="shared" si="16"/>
        <v>0</v>
      </c>
      <c r="BC91" s="110" t="str">
        <f t="shared" si="17"/>
        <v/>
      </c>
      <c r="BD91" s="62"/>
    </row>
    <row r="92" spans="1:56" ht="19.5" customHeight="1" x14ac:dyDescent="0.45">
      <c r="A92" s="104" t="str">
        <f t="shared" si="18"/>
        <v/>
      </c>
      <c r="B92" s="5"/>
      <c r="C92" s="109"/>
      <c r="D92" s="107"/>
      <c r="E92" s="6"/>
      <c r="F92" s="85"/>
      <c r="G92" s="85"/>
      <c r="H92" s="104" t="str">
        <f t="shared" si="10"/>
        <v/>
      </c>
      <c r="I92" s="103" t="str">
        <f>IFERROR(INDEX(#REF!,MATCH(E92,#REF!,0)),"")</f>
        <v/>
      </c>
      <c r="J92" s="6"/>
      <c r="K92" s="103" t="str">
        <f t="shared" si="11"/>
        <v/>
      </c>
      <c r="L92" s="8"/>
      <c r="M92" s="102" t="str">
        <f t="shared" si="12"/>
        <v/>
      </c>
      <c r="N92" s="9"/>
      <c r="O92" s="103" t="str">
        <f t="shared" si="13"/>
        <v/>
      </c>
      <c r="P92" s="6"/>
      <c r="Q92" s="7"/>
      <c r="R92" s="10"/>
      <c r="S92" s="29" t="str">
        <f t="shared" ca="1" si="14"/>
        <v/>
      </c>
      <c r="T92" s="7"/>
      <c r="U92" s="74"/>
      <c r="V92" s="101">
        <f>IF(OR(T92="",U92=""),0,IFERROR(INDEX(#REF!,MATCH(T92,#REF!,0))*U92,0))</f>
        <v>0</v>
      </c>
      <c r="W92" s="7"/>
      <c r="X92" s="74"/>
      <c r="Y92" s="101">
        <f>IF(OR(W92="",X92=""),0,IFERROR(INDEX(#REF!,MATCH(W92,#REF!,0))*X92,0))</f>
        <v>0</v>
      </c>
      <c r="Z92" s="7"/>
      <c r="AA92" s="74"/>
      <c r="AB92" s="101">
        <f>IF(OR(Z92="",AA92=""),0,IFERROR(INDEX(#REF!,MATCH(Z92,#REF!,0))*AA92,0))</f>
        <v>0</v>
      </c>
      <c r="AC92" s="7"/>
      <c r="AD92" s="74"/>
      <c r="AE92" s="101">
        <f>IF(OR(AC92="",AD92=""),0,IFERROR(INDEX(#REF!,MATCH(AC92,#REF!,0))*AD92,0))</f>
        <v>0</v>
      </c>
      <c r="AF92" s="7"/>
      <c r="AG92" s="74"/>
      <c r="AH92" s="101">
        <f>IF(OR(AF92="",AG92=""),0,IFERROR(INDEX(#REF!,MATCH(AF92,#REF!,0))*AG92,0))</f>
        <v>0</v>
      </c>
      <c r="AI92" s="7"/>
      <c r="AJ92" s="74"/>
      <c r="AK92" s="101">
        <f>IF(OR(AI92="",AJ92=""),0,IFERROR(INDEX(#REF!,MATCH(AI92,#REF!,0))*AJ92,0))</f>
        <v>0</v>
      </c>
      <c r="AL92" s="101">
        <f t="shared" si="15"/>
        <v>0</v>
      </c>
      <c r="AM92" s="7"/>
      <c r="AN92" s="72"/>
      <c r="AO92" s="99">
        <f>IF(OR(AM92="",AN92=""),0,IFERROR(INDEX(#REF!,MATCH(AM92,#REF!,0))*AN92,0))</f>
        <v>0</v>
      </c>
      <c r="AP92" s="7"/>
      <c r="AQ92" s="74"/>
      <c r="AR92" s="99">
        <f>IF(OR(AP92="",AQ92=""),0,IFERROR(INDEX(#REF!,MATCH(AP92,#REF!,0))*AQ92,0))</f>
        <v>0</v>
      </c>
      <c r="AS92" s="7"/>
      <c r="AT92" s="74"/>
      <c r="AU92" s="99">
        <f>IF(OR(AS92="",AT92=""),0,IFERROR(INDEX(#REF!,MATCH(AS92,#REF!,0))*AT92,0))</f>
        <v>0</v>
      </c>
      <c r="AV92" s="7"/>
      <c r="AW92" s="74"/>
      <c r="AX92" s="99">
        <f>IF(OR(AV92="",AW92=""),0,IFERROR(INDEX(#REF!,MATCH(AV92,#REF!,0))*AW92,0))</f>
        <v>0</v>
      </c>
      <c r="AY92" s="7"/>
      <c r="AZ92" s="77"/>
      <c r="BA92" s="99">
        <f>IF(OR(AY92="",AZ92=""),0,IFERROR(INDEX(#REF!,MATCH(AY92,#REF!,0))*AZ92,0))</f>
        <v>0</v>
      </c>
      <c r="BB92" s="100">
        <f t="shared" si="16"/>
        <v>0</v>
      </c>
      <c r="BC92" s="110" t="str">
        <f t="shared" si="17"/>
        <v/>
      </c>
      <c r="BD92" s="62"/>
    </row>
    <row r="93" spans="1:56" ht="19.5" customHeight="1" x14ac:dyDescent="0.45">
      <c r="A93" s="104" t="str">
        <f t="shared" si="18"/>
        <v/>
      </c>
      <c r="B93" s="5"/>
      <c r="C93" s="109"/>
      <c r="D93" s="107"/>
      <c r="E93" s="6"/>
      <c r="F93" s="85"/>
      <c r="G93" s="85"/>
      <c r="H93" s="104" t="str">
        <f t="shared" si="10"/>
        <v/>
      </c>
      <c r="I93" s="103" t="str">
        <f>IFERROR(INDEX(#REF!,MATCH(E93,#REF!,0)),"")</f>
        <v/>
      </c>
      <c r="J93" s="6"/>
      <c r="K93" s="103" t="str">
        <f t="shared" si="11"/>
        <v/>
      </c>
      <c r="L93" s="8"/>
      <c r="M93" s="102" t="str">
        <f t="shared" si="12"/>
        <v/>
      </c>
      <c r="N93" s="9"/>
      <c r="O93" s="103" t="str">
        <f t="shared" si="13"/>
        <v/>
      </c>
      <c r="P93" s="6"/>
      <c r="Q93" s="7"/>
      <c r="R93" s="10"/>
      <c r="S93" s="29" t="str">
        <f t="shared" ca="1" si="14"/>
        <v/>
      </c>
      <c r="T93" s="7"/>
      <c r="U93" s="74"/>
      <c r="V93" s="101">
        <f>IF(OR(T93="",U93=""),0,IFERROR(INDEX(#REF!,MATCH(T93,#REF!,0))*U93,0))</f>
        <v>0</v>
      </c>
      <c r="W93" s="7"/>
      <c r="X93" s="74"/>
      <c r="Y93" s="101">
        <f>IF(OR(W93="",X93=""),0,IFERROR(INDEX(#REF!,MATCH(W93,#REF!,0))*X93,0))</f>
        <v>0</v>
      </c>
      <c r="Z93" s="7"/>
      <c r="AA93" s="74"/>
      <c r="AB93" s="101">
        <f>IF(OR(Z93="",AA93=""),0,IFERROR(INDEX(#REF!,MATCH(Z93,#REF!,0))*AA93,0))</f>
        <v>0</v>
      </c>
      <c r="AC93" s="7"/>
      <c r="AD93" s="74"/>
      <c r="AE93" s="101">
        <f>IF(OR(AC93="",AD93=""),0,IFERROR(INDEX(#REF!,MATCH(AC93,#REF!,0))*AD93,0))</f>
        <v>0</v>
      </c>
      <c r="AF93" s="7"/>
      <c r="AG93" s="74"/>
      <c r="AH93" s="101">
        <f>IF(OR(AF93="",AG93=""),0,IFERROR(INDEX(#REF!,MATCH(AF93,#REF!,0))*AG93,0))</f>
        <v>0</v>
      </c>
      <c r="AI93" s="7"/>
      <c r="AJ93" s="74"/>
      <c r="AK93" s="101">
        <f>IF(OR(AI93="",AJ93=""),0,IFERROR(INDEX(#REF!,MATCH(AI93,#REF!,0))*AJ93,0))</f>
        <v>0</v>
      </c>
      <c r="AL93" s="101">
        <f t="shared" si="15"/>
        <v>0</v>
      </c>
      <c r="AM93" s="7"/>
      <c r="AN93" s="72"/>
      <c r="AO93" s="99">
        <f>IF(OR(AM93="",AN93=""),0,IFERROR(INDEX(#REF!,MATCH(AM93,#REF!,0))*AN93,0))</f>
        <v>0</v>
      </c>
      <c r="AP93" s="7"/>
      <c r="AQ93" s="74"/>
      <c r="AR93" s="99">
        <f>IF(OR(AP93="",AQ93=""),0,IFERROR(INDEX(#REF!,MATCH(AP93,#REF!,0))*AQ93,0))</f>
        <v>0</v>
      </c>
      <c r="AS93" s="7"/>
      <c r="AT93" s="74"/>
      <c r="AU93" s="99">
        <f>IF(OR(AS93="",AT93=""),0,IFERROR(INDEX(#REF!,MATCH(AS93,#REF!,0))*AT93,0))</f>
        <v>0</v>
      </c>
      <c r="AV93" s="7"/>
      <c r="AW93" s="74"/>
      <c r="AX93" s="99">
        <f>IF(OR(AV93="",AW93=""),0,IFERROR(INDEX(#REF!,MATCH(AV93,#REF!,0))*AW93,0))</f>
        <v>0</v>
      </c>
      <c r="AY93" s="7"/>
      <c r="AZ93" s="77"/>
      <c r="BA93" s="99">
        <f>IF(OR(AY93="",AZ93=""),0,IFERROR(INDEX(#REF!,MATCH(AY93,#REF!,0))*AZ93,0))</f>
        <v>0</v>
      </c>
      <c r="BB93" s="100">
        <f t="shared" si="16"/>
        <v>0</v>
      </c>
      <c r="BC93" s="110" t="str">
        <f t="shared" si="17"/>
        <v/>
      </c>
      <c r="BD93" s="62"/>
    </row>
    <row r="94" spans="1:56" ht="19.5" customHeight="1" x14ac:dyDescent="0.45">
      <c r="A94" s="104" t="str">
        <f t="shared" si="18"/>
        <v/>
      </c>
      <c r="B94" s="5"/>
      <c r="C94" s="109"/>
      <c r="D94" s="107"/>
      <c r="E94" s="6"/>
      <c r="F94" s="85"/>
      <c r="G94" s="85"/>
      <c r="H94" s="104" t="str">
        <f t="shared" si="10"/>
        <v/>
      </c>
      <c r="I94" s="103" t="str">
        <f>IFERROR(INDEX(#REF!,MATCH(E94,#REF!,0)),"")</f>
        <v/>
      </c>
      <c r="J94" s="6"/>
      <c r="K94" s="103" t="str">
        <f t="shared" si="11"/>
        <v/>
      </c>
      <c r="L94" s="8"/>
      <c r="M94" s="102" t="str">
        <f t="shared" si="12"/>
        <v/>
      </c>
      <c r="N94" s="9"/>
      <c r="O94" s="103" t="str">
        <f t="shared" si="13"/>
        <v/>
      </c>
      <c r="P94" s="6"/>
      <c r="Q94" s="7"/>
      <c r="R94" s="10"/>
      <c r="S94" s="29" t="str">
        <f t="shared" ca="1" si="14"/>
        <v/>
      </c>
      <c r="T94" s="7"/>
      <c r="U94" s="74"/>
      <c r="V94" s="101">
        <f>IF(OR(T94="",U94=""),0,IFERROR(INDEX(#REF!,MATCH(T94,#REF!,0))*U94,0))</f>
        <v>0</v>
      </c>
      <c r="W94" s="7"/>
      <c r="X94" s="74"/>
      <c r="Y94" s="101">
        <f>IF(OR(W94="",X94=""),0,IFERROR(INDEX(#REF!,MATCH(W94,#REF!,0))*X94,0))</f>
        <v>0</v>
      </c>
      <c r="Z94" s="7"/>
      <c r="AA94" s="74"/>
      <c r="AB94" s="101">
        <f>IF(OR(Z94="",AA94=""),0,IFERROR(INDEX(#REF!,MATCH(Z94,#REF!,0))*AA94,0))</f>
        <v>0</v>
      </c>
      <c r="AC94" s="7"/>
      <c r="AD94" s="74"/>
      <c r="AE94" s="101">
        <f>IF(OR(AC94="",AD94=""),0,IFERROR(INDEX(#REF!,MATCH(AC94,#REF!,0))*AD94,0))</f>
        <v>0</v>
      </c>
      <c r="AF94" s="7"/>
      <c r="AG94" s="74"/>
      <c r="AH94" s="101">
        <f>IF(OR(AF94="",AG94=""),0,IFERROR(INDEX(#REF!,MATCH(AF94,#REF!,0))*AG94,0))</f>
        <v>0</v>
      </c>
      <c r="AI94" s="7"/>
      <c r="AJ94" s="74"/>
      <c r="AK94" s="101">
        <f>IF(OR(AI94="",AJ94=""),0,IFERROR(INDEX(#REF!,MATCH(AI94,#REF!,0))*AJ94,0))</f>
        <v>0</v>
      </c>
      <c r="AL94" s="101">
        <f t="shared" si="15"/>
        <v>0</v>
      </c>
      <c r="AM94" s="7"/>
      <c r="AN94" s="72"/>
      <c r="AO94" s="99">
        <f>IF(OR(AM94="",AN94=""),0,IFERROR(INDEX(#REF!,MATCH(AM94,#REF!,0))*AN94,0))</f>
        <v>0</v>
      </c>
      <c r="AP94" s="7"/>
      <c r="AQ94" s="74"/>
      <c r="AR94" s="99">
        <f>IF(OR(AP94="",AQ94=""),0,IFERROR(INDEX(#REF!,MATCH(AP94,#REF!,0))*AQ94,0))</f>
        <v>0</v>
      </c>
      <c r="AS94" s="7"/>
      <c r="AT94" s="74"/>
      <c r="AU94" s="99">
        <f>IF(OR(AS94="",AT94=""),0,IFERROR(INDEX(#REF!,MATCH(AS94,#REF!,0))*AT94,0))</f>
        <v>0</v>
      </c>
      <c r="AV94" s="7"/>
      <c r="AW94" s="74"/>
      <c r="AX94" s="99">
        <f>IF(OR(AV94="",AW94=""),0,IFERROR(INDEX(#REF!,MATCH(AV94,#REF!,0))*AW94,0))</f>
        <v>0</v>
      </c>
      <c r="AY94" s="7"/>
      <c r="AZ94" s="77"/>
      <c r="BA94" s="99">
        <f>IF(OR(AY94="",AZ94=""),0,IFERROR(INDEX(#REF!,MATCH(AY94,#REF!,0))*AZ94,0))</f>
        <v>0</v>
      </c>
      <c r="BB94" s="100">
        <f t="shared" si="16"/>
        <v>0</v>
      </c>
      <c r="BC94" s="110" t="str">
        <f t="shared" si="17"/>
        <v/>
      </c>
      <c r="BD94" s="62"/>
    </row>
    <row r="95" spans="1:56" ht="19.5" customHeight="1" x14ac:dyDescent="0.45">
      <c r="A95" s="104" t="str">
        <f t="shared" si="18"/>
        <v/>
      </c>
      <c r="B95" s="5"/>
      <c r="C95" s="109"/>
      <c r="D95" s="107"/>
      <c r="E95" s="6"/>
      <c r="F95" s="85"/>
      <c r="G95" s="85"/>
      <c r="H95" s="104" t="str">
        <f t="shared" si="10"/>
        <v/>
      </c>
      <c r="I95" s="103" t="str">
        <f>IFERROR(INDEX(#REF!,MATCH(E95,#REF!,0)),"")</f>
        <v/>
      </c>
      <c r="J95" s="6"/>
      <c r="K95" s="103" t="str">
        <f t="shared" si="11"/>
        <v/>
      </c>
      <c r="L95" s="8"/>
      <c r="M95" s="102" t="str">
        <f t="shared" si="12"/>
        <v/>
      </c>
      <c r="N95" s="9"/>
      <c r="O95" s="103" t="str">
        <f t="shared" si="13"/>
        <v/>
      </c>
      <c r="P95" s="6"/>
      <c r="Q95" s="7"/>
      <c r="R95" s="10"/>
      <c r="S95" s="29" t="str">
        <f t="shared" ca="1" si="14"/>
        <v/>
      </c>
      <c r="T95" s="7"/>
      <c r="U95" s="74"/>
      <c r="V95" s="101">
        <f>IF(OR(T95="",U95=""),0,IFERROR(INDEX(#REF!,MATCH(T95,#REF!,0))*U95,0))</f>
        <v>0</v>
      </c>
      <c r="W95" s="7"/>
      <c r="X95" s="74"/>
      <c r="Y95" s="101">
        <f>IF(OR(W95="",X95=""),0,IFERROR(INDEX(#REF!,MATCH(W95,#REF!,0))*X95,0))</f>
        <v>0</v>
      </c>
      <c r="Z95" s="7"/>
      <c r="AA95" s="74"/>
      <c r="AB95" s="101">
        <f>IF(OR(Z95="",AA95=""),0,IFERROR(INDEX(#REF!,MATCH(Z95,#REF!,0))*AA95,0))</f>
        <v>0</v>
      </c>
      <c r="AC95" s="7"/>
      <c r="AD95" s="74"/>
      <c r="AE95" s="101">
        <f>IF(OR(AC95="",AD95=""),0,IFERROR(INDEX(#REF!,MATCH(AC95,#REF!,0))*AD95,0))</f>
        <v>0</v>
      </c>
      <c r="AF95" s="7"/>
      <c r="AG95" s="74"/>
      <c r="AH95" s="101">
        <f>IF(OR(AF95="",AG95=""),0,IFERROR(INDEX(#REF!,MATCH(AF95,#REF!,0))*AG95,0))</f>
        <v>0</v>
      </c>
      <c r="AI95" s="7"/>
      <c r="AJ95" s="74"/>
      <c r="AK95" s="101">
        <f>IF(OR(AI95="",AJ95=""),0,IFERROR(INDEX(#REF!,MATCH(AI95,#REF!,0))*AJ95,0))</f>
        <v>0</v>
      </c>
      <c r="AL95" s="101">
        <f t="shared" si="15"/>
        <v>0</v>
      </c>
      <c r="AM95" s="7"/>
      <c r="AN95" s="72"/>
      <c r="AO95" s="99">
        <f>IF(OR(AM95="",AN95=""),0,IFERROR(INDEX(#REF!,MATCH(AM95,#REF!,0))*AN95,0))</f>
        <v>0</v>
      </c>
      <c r="AP95" s="7"/>
      <c r="AQ95" s="74"/>
      <c r="AR95" s="99">
        <f>IF(OR(AP95="",AQ95=""),0,IFERROR(INDEX(#REF!,MATCH(AP95,#REF!,0))*AQ95,0))</f>
        <v>0</v>
      </c>
      <c r="AS95" s="7"/>
      <c r="AT95" s="74"/>
      <c r="AU95" s="99">
        <f>IF(OR(AS95="",AT95=""),0,IFERROR(INDEX(#REF!,MATCH(AS95,#REF!,0))*AT95,0))</f>
        <v>0</v>
      </c>
      <c r="AV95" s="7"/>
      <c r="AW95" s="74"/>
      <c r="AX95" s="99">
        <f>IF(OR(AV95="",AW95=""),0,IFERROR(INDEX(#REF!,MATCH(AV95,#REF!,0))*AW95,0))</f>
        <v>0</v>
      </c>
      <c r="AY95" s="7"/>
      <c r="AZ95" s="77"/>
      <c r="BA95" s="99">
        <f>IF(OR(AY95="",AZ95=""),0,IFERROR(INDEX(#REF!,MATCH(AY95,#REF!,0))*AZ95,0))</f>
        <v>0</v>
      </c>
      <c r="BB95" s="100">
        <f t="shared" si="16"/>
        <v>0</v>
      </c>
      <c r="BC95" s="110" t="str">
        <f t="shared" si="17"/>
        <v/>
      </c>
      <c r="BD95" s="62"/>
    </row>
    <row r="96" spans="1:56" ht="19.5" customHeight="1" x14ac:dyDescent="0.45">
      <c r="A96" s="104" t="str">
        <f t="shared" si="18"/>
        <v/>
      </c>
      <c r="B96" s="5"/>
      <c r="C96" s="109"/>
      <c r="D96" s="107"/>
      <c r="E96" s="6"/>
      <c r="F96" s="85"/>
      <c r="G96" s="85"/>
      <c r="H96" s="104" t="str">
        <f t="shared" si="10"/>
        <v/>
      </c>
      <c r="I96" s="103" t="str">
        <f>IFERROR(INDEX(#REF!,MATCH(E96,#REF!,0)),"")</f>
        <v/>
      </c>
      <c r="J96" s="6"/>
      <c r="K96" s="103" t="str">
        <f t="shared" si="11"/>
        <v/>
      </c>
      <c r="L96" s="8"/>
      <c r="M96" s="102" t="str">
        <f t="shared" si="12"/>
        <v/>
      </c>
      <c r="N96" s="9"/>
      <c r="O96" s="103" t="str">
        <f t="shared" si="13"/>
        <v/>
      </c>
      <c r="P96" s="6"/>
      <c r="Q96" s="7"/>
      <c r="R96" s="10"/>
      <c r="S96" s="29" t="str">
        <f t="shared" ca="1" si="14"/>
        <v/>
      </c>
      <c r="T96" s="7"/>
      <c r="U96" s="74"/>
      <c r="V96" s="101">
        <f>IF(OR(T96="",U96=""),0,IFERROR(INDEX(#REF!,MATCH(T96,#REF!,0))*U96,0))</f>
        <v>0</v>
      </c>
      <c r="W96" s="7"/>
      <c r="X96" s="74"/>
      <c r="Y96" s="101">
        <f>IF(OR(W96="",X96=""),0,IFERROR(INDEX(#REF!,MATCH(W96,#REF!,0))*X96,0))</f>
        <v>0</v>
      </c>
      <c r="Z96" s="7"/>
      <c r="AA96" s="74"/>
      <c r="AB96" s="101">
        <f>IF(OR(Z96="",AA96=""),0,IFERROR(INDEX(#REF!,MATCH(Z96,#REF!,0))*AA96,0))</f>
        <v>0</v>
      </c>
      <c r="AC96" s="7"/>
      <c r="AD96" s="74"/>
      <c r="AE96" s="101">
        <f>IF(OR(AC96="",AD96=""),0,IFERROR(INDEX(#REF!,MATCH(AC96,#REF!,0))*AD96,0))</f>
        <v>0</v>
      </c>
      <c r="AF96" s="7"/>
      <c r="AG96" s="74"/>
      <c r="AH96" s="101">
        <f>IF(OR(AF96="",AG96=""),0,IFERROR(INDEX(#REF!,MATCH(AF96,#REF!,0))*AG96,0))</f>
        <v>0</v>
      </c>
      <c r="AI96" s="7"/>
      <c r="AJ96" s="74"/>
      <c r="AK96" s="101">
        <f>IF(OR(AI96="",AJ96=""),0,IFERROR(INDEX(#REF!,MATCH(AI96,#REF!,0))*AJ96,0))</f>
        <v>0</v>
      </c>
      <c r="AL96" s="101">
        <f t="shared" si="15"/>
        <v>0</v>
      </c>
      <c r="AM96" s="7"/>
      <c r="AN96" s="72"/>
      <c r="AO96" s="99">
        <f>IF(OR(AM96="",AN96=""),0,IFERROR(INDEX(#REF!,MATCH(AM96,#REF!,0))*AN96,0))</f>
        <v>0</v>
      </c>
      <c r="AP96" s="7"/>
      <c r="AQ96" s="74"/>
      <c r="AR96" s="99">
        <f>IF(OR(AP96="",AQ96=""),0,IFERROR(INDEX(#REF!,MATCH(AP96,#REF!,0))*AQ96,0))</f>
        <v>0</v>
      </c>
      <c r="AS96" s="7"/>
      <c r="AT96" s="74"/>
      <c r="AU96" s="99">
        <f>IF(OR(AS96="",AT96=""),0,IFERROR(INDEX(#REF!,MATCH(AS96,#REF!,0))*AT96,0))</f>
        <v>0</v>
      </c>
      <c r="AV96" s="7"/>
      <c r="AW96" s="74"/>
      <c r="AX96" s="99">
        <f>IF(OR(AV96="",AW96=""),0,IFERROR(INDEX(#REF!,MATCH(AV96,#REF!,0))*AW96,0))</f>
        <v>0</v>
      </c>
      <c r="AY96" s="7"/>
      <c r="AZ96" s="77"/>
      <c r="BA96" s="99">
        <f>IF(OR(AY96="",AZ96=""),0,IFERROR(INDEX(#REF!,MATCH(AY96,#REF!,0))*AZ96,0))</f>
        <v>0</v>
      </c>
      <c r="BB96" s="100">
        <f t="shared" si="16"/>
        <v>0</v>
      </c>
      <c r="BC96" s="110" t="str">
        <f t="shared" si="17"/>
        <v/>
      </c>
      <c r="BD96" s="62"/>
    </row>
    <row r="97" spans="1:56" ht="19.5" customHeight="1" x14ac:dyDescent="0.45">
      <c r="A97" s="104" t="str">
        <f t="shared" si="18"/>
        <v/>
      </c>
      <c r="B97" s="5"/>
      <c r="C97" s="109"/>
      <c r="D97" s="107"/>
      <c r="E97" s="6"/>
      <c r="F97" s="85"/>
      <c r="G97" s="85"/>
      <c r="H97" s="104" t="str">
        <f t="shared" si="10"/>
        <v/>
      </c>
      <c r="I97" s="103" t="str">
        <f>IFERROR(INDEX(#REF!,MATCH(E97,#REF!,0)),"")</f>
        <v/>
      </c>
      <c r="J97" s="6"/>
      <c r="K97" s="103" t="str">
        <f t="shared" si="11"/>
        <v/>
      </c>
      <c r="L97" s="8"/>
      <c r="M97" s="102" t="str">
        <f t="shared" si="12"/>
        <v/>
      </c>
      <c r="N97" s="9"/>
      <c r="O97" s="103" t="str">
        <f t="shared" si="13"/>
        <v/>
      </c>
      <c r="P97" s="6"/>
      <c r="Q97" s="7"/>
      <c r="R97" s="10"/>
      <c r="S97" s="29" t="str">
        <f t="shared" ca="1" si="14"/>
        <v/>
      </c>
      <c r="T97" s="7"/>
      <c r="U97" s="74"/>
      <c r="V97" s="101">
        <f>IF(OR(T97="",U97=""),0,IFERROR(INDEX(#REF!,MATCH(T97,#REF!,0))*U97,0))</f>
        <v>0</v>
      </c>
      <c r="W97" s="7"/>
      <c r="X97" s="74"/>
      <c r="Y97" s="101">
        <f>IF(OR(W97="",X97=""),0,IFERROR(INDEX(#REF!,MATCH(W97,#REF!,0))*X97,0))</f>
        <v>0</v>
      </c>
      <c r="Z97" s="7"/>
      <c r="AA97" s="74"/>
      <c r="AB97" s="101">
        <f>IF(OR(Z97="",AA97=""),0,IFERROR(INDEX(#REF!,MATCH(Z97,#REF!,0))*AA97,0))</f>
        <v>0</v>
      </c>
      <c r="AC97" s="7"/>
      <c r="AD97" s="74"/>
      <c r="AE97" s="101">
        <f>IF(OR(AC97="",AD97=""),0,IFERROR(INDEX(#REF!,MATCH(AC97,#REF!,0))*AD97,0))</f>
        <v>0</v>
      </c>
      <c r="AF97" s="7"/>
      <c r="AG97" s="74"/>
      <c r="AH97" s="101">
        <f>IF(OR(AF97="",AG97=""),0,IFERROR(INDEX(#REF!,MATCH(AF97,#REF!,0))*AG97,0))</f>
        <v>0</v>
      </c>
      <c r="AI97" s="7"/>
      <c r="AJ97" s="74"/>
      <c r="AK97" s="101">
        <f>IF(OR(AI97="",AJ97=""),0,IFERROR(INDEX(#REF!,MATCH(AI97,#REF!,0))*AJ97,0))</f>
        <v>0</v>
      </c>
      <c r="AL97" s="101">
        <f t="shared" si="15"/>
        <v>0</v>
      </c>
      <c r="AM97" s="7"/>
      <c r="AN97" s="72"/>
      <c r="AO97" s="99">
        <f>IF(OR(AM97="",AN97=""),0,IFERROR(INDEX(#REF!,MATCH(AM97,#REF!,0))*AN97,0))</f>
        <v>0</v>
      </c>
      <c r="AP97" s="7"/>
      <c r="AQ97" s="74"/>
      <c r="AR97" s="99">
        <f>IF(OR(AP97="",AQ97=""),0,IFERROR(INDEX(#REF!,MATCH(AP97,#REF!,0))*AQ97,0))</f>
        <v>0</v>
      </c>
      <c r="AS97" s="7"/>
      <c r="AT97" s="74"/>
      <c r="AU97" s="99">
        <f>IF(OR(AS97="",AT97=""),0,IFERROR(INDEX(#REF!,MATCH(AS97,#REF!,0))*AT97,0))</f>
        <v>0</v>
      </c>
      <c r="AV97" s="7"/>
      <c r="AW97" s="74"/>
      <c r="AX97" s="99">
        <f>IF(OR(AV97="",AW97=""),0,IFERROR(INDEX(#REF!,MATCH(AV97,#REF!,0))*AW97,0))</f>
        <v>0</v>
      </c>
      <c r="AY97" s="7"/>
      <c r="AZ97" s="77"/>
      <c r="BA97" s="99">
        <f>IF(OR(AY97="",AZ97=""),0,IFERROR(INDEX(#REF!,MATCH(AY97,#REF!,0))*AZ97,0))</f>
        <v>0</v>
      </c>
      <c r="BB97" s="100">
        <f t="shared" si="16"/>
        <v>0</v>
      </c>
      <c r="BC97" s="110" t="str">
        <f t="shared" si="17"/>
        <v/>
      </c>
      <c r="BD97" s="62"/>
    </row>
    <row r="98" spans="1:56" ht="19.5" customHeight="1" x14ac:dyDescent="0.45">
      <c r="A98" s="104" t="str">
        <f t="shared" si="18"/>
        <v/>
      </c>
      <c r="B98" s="5"/>
      <c r="C98" s="109"/>
      <c r="D98" s="107"/>
      <c r="E98" s="6"/>
      <c r="F98" s="85"/>
      <c r="G98" s="85"/>
      <c r="H98" s="104" t="str">
        <f t="shared" si="10"/>
        <v/>
      </c>
      <c r="I98" s="103" t="str">
        <f>IFERROR(INDEX(#REF!,MATCH(E98,#REF!,0)),"")</f>
        <v/>
      </c>
      <c r="J98" s="6"/>
      <c r="K98" s="103" t="str">
        <f t="shared" si="11"/>
        <v/>
      </c>
      <c r="L98" s="8"/>
      <c r="M98" s="102" t="str">
        <f t="shared" si="12"/>
        <v/>
      </c>
      <c r="N98" s="9"/>
      <c r="O98" s="103" t="str">
        <f t="shared" si="13"/>
        <v/>
      </c>
      <c r="P98" s="6"/>
      <c r="Q98" s="7"/>
      <c r="R98" s="10"/>
      <c r="S98" s="29" t="str">
        <f t="shared" ca="1" si="14"/>
        <v/>
      </c>
      <c r="T98" s="7"/>
      <c r="U98" s="74"/>
      <c r="V98" s="101">
        <f>IF(OR(T98="",U98=""),0,IFERROR(INDEX(#REF!,MATCH(T98,#REF!,0))*U98,0))</f>
        <v>0</v>
      </c>
      <c r="W98" s="7"/>
      <c r="X98" s="74"/>
      <c r="Y98" s="101">
        <f>IF(OR(W98="",X98=""),0,IFERROR(INDEX(#REF!,MATCH(W98,#REF!,0))*X98,0))</f>
        <v>0</v>
      </c>
      <c r="Z98" s="7"/>
      <c r="AA98" s="74"/>
      <c r="AB98" s="101">
        <f>IF(OR(Z98="",AA98=""),0,IFERROR(INDEX(#REF!,MATCH(Z98,#REF!,0))*AA98,0))</f>
        <v>0</v>
      </c>
      <c r="AC98" s="7"/>
      <c r="AD98" s="74"/>
      <c r="AE98" s="101">
        <f>IF(OR(AC98="",AD98=""),0,IFERROR(INDEX(#REF!,MATCH(AC98,#REF!,0))*AD98,0))</f>
        <v>0</v>
      </c>
      <c r="AF98" s="7"/>
      <c r="AG98" s="74"/>
      <c r="AH98" s="101">
        <f>IF(OR(AF98="",AG98=""),0,IFERROR(INDEX(#REF!,MATCH(AF98,#REF!,0))*AG98,0))</f>
        <v>0</v>
      </c>
      <c r="AI98" s="7"/>
      <c r="AJ98" s="74"/>
      <c r="AK98" s="101">
        <f>IF(OR(AI98="",AJ98=""),0,IFERROR(INDEX(#REF!,MATCH(AI98,#REF!,0))*AJ98,0))</f>
        <v>0</v>
      </c>
      <c r="AL98" s="101">
        <f t="shared" si="15"/>
        <v>0</v>
      </c>
      <c r="AM98" s="7"/>
      <c r="AN98" s="72"/>
      <c r="AO98" s="99">
        <f>IF(OR(AM98="",AN98=""),0,IFERROR(INDEX(#REF!,MATCH(AM98,#REF!,0))*AN98,0))</f>
        <v>0</v>
      </c>
      <c r="AP98" s="7"/>
      <c r="AQ98" s="74"/>
      <c r="AR98" s="99">
        <f>IF(OR(AP98="",AQ98=""),0,IFERROR(INDEX(#REF!,MATCH(AP98,#REF!,0))*AQ98,0))</f>
        <v>0</v>
      </c>
      <c r="AS98" s="7"/>
      <c r="AT98" s="74"/>
      <c r="AU98" s="99">
        <f>IF(OR(AS98="",AT98=""),0,IFERROR(INDEX(#REF!,MATCH(AS98,#REF!,0))*AT98,0))</f>
        <v>0</v>
      </c>
      <c r="AV98" s="7"/>
      <c r="AW98" s="74"/>
      <c r="AX98" s="99">
        <f>IF(OR(AV98="",AW98=""),0,IFERROR(INDEX(#REF!,MATCH(AV98,#REF!,0))*AW98,0))</f>
        <v>0</v>
      </c>
      <c r="AY98" s="7"/>
      <c r="AZ98" s="77"/>
      <c r="BA98" s="99">
        <f>IF(OR(AY98="",AZ98=""),0,IFERROR(INDEX(#REF!,MATCH(AY98,#REF!,0))*AZ98,0))</f>
        <v>0</v>
      </c>
      <c r="BB98" s="100">
        <f t="shared" si="16"/>
        <v>0</v>
      </c>
      <c r="BC98" s="110" t="str">
        <f t="shared" si="17"/>
        <v/>
      </c>
      <c r="BD98" s="62"/>
    </row>
    <row r="99" spans="1:56" ht="19.5" customHeight="1" x14ac:dyDescent="0.45">
      <c r="A99" s="104" t="str">
        <f t="shared" si="18"/>
        <v/>
      </c>
      <c r="B99" s="5"/>
      <c r="C99" s="109"/>
      <c r="D99" s="107"/>
      <c r="E99" s="6"/>
      <c r="F99" s="85"/>
      <c r="G99" s="85"/>
      <c r="H99" s="104" t="str">
        <f t="shared" si="10"/>
        <v/>
      </c>
      <c r="I99" s="103" t="str">
        <f>IFERROR(INDEX(#REF!,MATCH(E99,#REF!,0)),"")</f>
        <v/>
      </c>
      <c r="J99" s="6"/>
      <c r="K99" s="103" t="str">
        <f t="shared" si="11"/>
        <v/>
      </c>
      <c r="L99" s="8"/>
      <c r="M99" s="102" t="str">
        <f t="shared" si="12"/>
        <v/>
      </c>
      <c r="N99" s="9"/>
      <c r="O99" s="103" t="str">
        <f t="shared" si="13"/>
        <v/>
      </c>
      <c r="P99" s="6"/>
      <c r="Q99" s="7"/>
      <c r="R99" s="10"/>
      <c r="S99" s="29" t="str">
        <f t="shared" ca="1" si="14"/>
        <v/>
      </c>
      <c r="T99" s="7"/>
      <c r="U99" s="74"/>
      <c r="V99" s="101">
        <f>IF(OR(T99="",U99=""),0,IFERROR(INDEX(#REF!,MATCH(T99,#REF!,0))*U99,0))</f>
        <v>0</v>
      </c>
      <c r="W99" s="7"/>
      <c r="X99" s="74"/>
      <c r="Y99" s="101">
        <f>IF(OR(W99="",X99=""),0,IFERROR(INDEX(#REF!,MATCH(W99,#REF!,0))*X99,0))</f>
        <v>0</v>
      </c>
      <c r="Z99" s="7"/>
      <c r="AA99" s="74"/>
      <c r="AB99" s="101">
        <f>IF(OR(Z99="",AA99=""),0,IFERROR(INDEX(#REF!,MATCH(Z99,#REF!,0))*AA99,0))</f>
        <v>0</v>
      </c>
      <c r="AC99" s="7"/>
      <c r="AD99" s="74"/>
      <c r="AE99" s="101">
        <f>IF(OR(AC99="",AD99=""),0,IFERROR(INDEX(#REF!,MATCH(AC99,#REF!,0))*AD99,0))</f>
        <v>0</v>
      </c>
      <c r="AF99" s="7"/>
      <c r="AG99" s="74"/>
      <c r="AH99" s="101">
        <f>IF(OR(AF99="",AG99=""),0,IFERROR(INDEX(#REF!,MATCH(AF99,#REF!,0))*AG99,0))</f>
        <v>0</v>
      </c>
      <c r="AI99" s="7"/>
      <c r="AJ99" s="74"/>
      <c r="AK99" s="101">
        <f>IF(OR(AI99="",AJ99=""),0,IFERROR(INDEX(#REF!,MATCH(AI99,#REF!,0))*AJ99,0))</f>
        <v>0</v>
      </c>
      <c r="AL99" s="101">
        <f t="shared" si="15"/>
        <v>0</v>
      </c>
      <c r="AM99" s="7"/>
      <c r="AN99" s="72"/>
      <c r="AO99" s="99">
        <f>IF(OR(AM99="",AN99=""),0,IFERROR(INDEX(#REF!,MATCH(AM99,#REF!,0))*AN99,0))</f>
        <v>0</v>
      </c>
      <c r="AP99" s="7"/>
      <c r="AQ99" s="74"/>
      <c r="AR99" s="99">
        <f>IF(OR(AP99="",AQ99=""),0,IFERROR(INDEX(#REF!,MATCH(AP99,#REF!,0))*AQ99,0))</f>
        <v>0</v>
      </c>
      <c r="AS99" s="7"/>
      <c r="AT99" s="74"/>
      <c r="AU99" s="99">
        <f>IF(OR(AS99="",AT99=""),0,IFERROR(INDEX(#REF!,MATCH(AS99,#REF!,0))*AT99,0))</f>
        <v>0</v>
      </c>
      <c r="AV99" s="7"/>
      <c r="AW99" s="74"/>
      <c r="AX99" s="99">
        <f>IF(OR(AV99="",AW99=""),0,IFERROR(INDEX(#REF!,MATCH(AV99,#REF!,0))*AW99,0))</f>
        <v>0</v>
      </c>
      <c r="AY99" s="7"/>
      <c r="AZ99" s="77"/>
      <c r="BA99" s="99">
        <f>IF(OR(AY99="",AZ99=""),0,IFERROR(INDEX(#REF!,MATCH(AY99,#REF!,0))*AZ99,0))</f>
        <v>0</v>
      </c>
      <c r="BB99" s="100">
        <f t="shared" si="16"/>
        <v>0</v>
      </c>
      <c r="BC99" s="110" t="str">
        <f t="shared" si="17"/>
        <v/>
      </c>
      <c r="BD99" s="62"/>
    </row>
    <row r="100" spans="1:56" ht="19.5" customHeight="1" x14ac:dyDescent="0.45">
      <c r="A100" s="104" t="str">
        <f t="shared" si="18"/>
        <v/>
      </c>
      <c r="B100" s="5"/>
      <c r="C100" s="109"/>
      <c r="D100" s="107"/>
      <c r="E100" s="6"/>
      <c r="F100" s="85"/>
      <c r="G100" s="85"/>
      <c r="H100" s="104" t="str">
        <f t="shared" si="10"/>
        <v/>
      </c>
      <c r="I100" s="103" t="str">
        <f>IFERROR(INDEX(#REF!,MATCH(E100,#REF!,0)),"")</f>
        <v/>
      </c>
      <c r="J100" s="6"/>
      <c r="K100" s="103" t="str">
        <f t="shared" si="11"/>
        <v/>
      </c>
      <c r="L100" s="8"/>
      <c r="M100" s="102" t="str">
        <f t="shared" si="12"/>
        <v/>
      </c>
      <c r="N100" s="9"/>
      <c r="O100" s="103" t="str">
        <f t="shared" si="13"/>
        <v/>
      </c>
      <c r="P100" s="6"/>
      <c r="Q100" s="7"/>
      <c r="R100" s="10"/>
      <c r="S100" s="29" t="str">
        <f t="shared" ca="1" si="14"/>
        <v/>
      </c>
      <c r="T100" s="7"/>
      <c r="U100" s="74"/>
      <c r="V100" s="101">
        <f>IF(OR(T100="",U100=""),0,IFERROR(INDEX(#REF!,MATCH(T100,#REF!,0))*U100,0))</f>
        <v>0</v>
      </c>
      <c r="W100" s="7"/>
      <c r="X100" s="74"/>
      <c r="Y100" s="101">
        <f>IF(OR(W100="",X100=""),0,IFERROR(INDEX(#REF!,MATCH(W100,#REF!,0))*X100,0))</f>
        <v>0</v>
      </c>
      <c r="Z100" s="7"/>
      <c r="AA100" s="74"/>
      <c r="AB100" s="101">
        <f>IF(OR(Z100="",AA100=""),0,IFERROR(INDEX(#REF!,MATCH(Z100,#REF!,0))*AA100,0))</f>
        <v>0</v>
      </c>
      <c r="AC100" s="7"/>
      <c r="AD100" s="74"/>
      <c r="AE100" s="101">
        <f>IF(OR(AC100="",AD100=""),0,IFERROR(INDEX(#REF!,MATCH(AC100,#REF!,0))*AD100,0))</f>
        <v>0</v>
      </c>
      <c r="AF100" s="7"/>
      <c r="AG100" s="74"/>
      <c r="AH100" s="101">
        <f>IF(OR(AF100="",AG100=""),0,IFERROR(INDEX(#REF!,MATCH(AF100,#REF!,0))*AG100,0))</f>
        <v>0</v>
      </c>
      <c r="AI100" s="7"/>
      <c r="AJ100" s="74"/>
      <c r="AK100" s="101">
        <f>IF(OR(AI100="",AJ100=""),0,IFERROR(INDEX(#REF!,MATCH(AI100,#REF!,0))*AJ100,0))</f>
        <v>0</v>
      </c>
      <c r="AL100" s="101">
        <f t="shared" si="15"/>
        <v>0</v>
      </c>
      <c r="AM100" s="7"/>
      <c r="AN100" s="72"/>
      <c r="AO100" s="99">
        <f>IF(OR(AM100="",AN100=""),0,IFERROR(INDEX(#REF!,MATCH(AM100,#REF!,0))*AN100,0))</f>
        <v>0</v>
      </c>
      <c r="AP100" s="7"/>
      <c r="AQ100" s="74"/>
      <c r="AR100" s="99">
        <f>IF(OR(AP100="",AQ100=""),0,IFERROR(INDEX(#REF!,MATCH(AP100,#REF!,0))*AQ100,0))</f>
        <v>0</v>
      </c>
      <c r="AS100" s="7"/>
      <c r="AT100" s="74"/>
      <c r="AU100" s="99">
        <f>IF(OR(AS100="",AT100=""),0,IFERROR(INDEX(#REF!,MATCH(AS100,#REF!,0))*AT100,0))</f>
        <v>0</v>
      </c>
      <c r="AV100" s="7"/>
      <c r="AW100" s="74"/>
      <c r="AX100" s="99">
        <f>IF(OR(AV100="",AW100=""),0,IFERROR(INDEX(#REF!,MATCH(AV100,#REF!,0))*AW100,0))</f>
        <v>0</v>
      </c>
      <c r="AY100" s="7"/>
      <c r="AZ100" s="77"/>
      <c r="BA100" s="99">
        <f>IF(OR(AY100="",AZ100=""),0,IFERROR(INDEX(#REF!,MATCH(AY100,#REF!,0))*AZ100,0))</f>
        <v>0</v>
      </c>
      <c r="BB100" s="100">
        <f t="shared" si="16"/>
        <v>0</v>
      </c>
      <c r="BC100" s="110" t="str">
        <f t="shared" si="17"/>
        <v/>
      </c>
      <c r="BD100" s="62"/>
    </row>
    <row r="101" spans="1:56" ht="19.5" customHeight="1" x14ac:dyDescent="0.45">
      <c r="A101" s="104" t="str">
        <f t="shared" si="18"/>
        <v/>
      </c>
      <c r="B101" s="5"/>
      <c r="C101" s="109"/>
      <c r="D101" s="107"/>
      <c r="E101" s="6"/>
      <c r="F101" s="85"/>
      <c r="G101" s="85"/>
      <c r="H101" s="104" t="str">
        <f t="shared" si="10"/>
        <v/>
      </c>
      <c r="I101" s="103" t="str">
        <f>IFERROR(INDEX(#REF!,MATCH(E101,#REF!,0)),"")</f>
        <v/>
      </c>
      <c r="J101" s="6"/>
      <c r="K101" s="103" t="str">
        <f t="shared" si="11"/>
        <v/>
      </c>
      <c r="L101" s="8"/>
      <c r="M101" s="102" t="str">
        <f t="shared" si="12"/>
        <v/>
      </c>
      <c r="N101" s="9"/>
      <c r="O101" s="103" t="str">
        <f t="shared" si="13"/>
        <v/>
      </c>
      <c r="P101" s="6"/>
      <c r="Q101" s="7"/>
      <c r="R101" s="10"/>
      <c r="S101" s="29" t="str">
        <f t="shared" ca="1" si="14"/>
        <v/>
      </c>
      <c r="T101" s="7"/>
      <c r="U101" s="74"/>
      <c r="V101" s="101">
        <f>IF(OR(T101="",U101=""),0,IFERROR(INDEX(#REF!,MATCH(T101,#REF!,0))*U101,0))</f>
        <v>0</v>
      </c>
      <c r="W101" s="7"/>
      <c r="X101" s="74"/>
      <c r="Y101" s="101">
        <f>IF(OR(W101="",X101=""),0,IFERROR(INDEX(#REF!,MATCH(W101,#REF!,0))*X101,0))</f>
        <v>0</v>
      </c>
      <c r="Z101" s="7"/>
      <c r="AA101" s="74"/>
      <c r="AB101" s="101">
        <f>IF(OR(Z101="",AA101=""),0,IFERROR(INDEX(#REF!,MATCH(Z101,#REF!,0))*AA101,0))</f>
        <v>0</v>
      </c>
      <c r="AC101" s="7"/>
      <c r="AD101" s="74"/>
      <c r="AE101" s="101">
        <f>IF(OR(AC101="",AD101=""),0,IFERROR(INDEX(#REF!,MATCH(AC101,#REF!,0))*AD101,0))</f>
        <v>0</v>
      </c>
      <c r="AF101" s="7"/>
      <c r="AG101" s="74"/>
      <c r="AH101" s="101">
        <f>IF(OR(AF101="",AG101=""),0,IFERROR(INDEX(#REF!,MATCH(AF101,#REF!,0))*AG101,0))</f>
        <v>0</v>
      </c>
      <c r="AI101" s="7"/>
      <c r="AJ101" s="74"/>
      <c r="AK101" s="101">
        <f>IF(OR(AI101="",AJ101=""),0,IFERROR(INDEX(#REF!,MATCH(AI101,#REF!,0))*AJ101,0))</f>
        <v>0</v>
      </c>
      <c r="AL101" s="101">
        <f t="shared" si="15"/>
        <v>0</v>
      </c>
      <c r="AM101" s="7"/>
      <c r="AN101" s="72"/>
      <c r="AO101" s="99">
        <f>IF(OR(AM101="",AN101=""),0,IFERROR(INDEX(#REF!,MATCH(AM101,#REF!,0))*AN101,0))</f>
        <v>0</v>
      </c>
      <c r="AP101" s="7"/>
      <c r="AQ101" s="74"/>
      <c r="AR101" s="99">
        <f>IF(OR(AP101="",AQ101=""),0,IFERROR(INDEX(#REF!,MATCH(AP101,#REF!,0))*AQ101,0))</f>
        <v>0</v>
      </c>
      <c r="AS101" s="7"/>
      <c r="AT101" s="74"/>
      <c r="AU101" s="99">
        <f>IF(OR(AS101="",AT101=""),0,IFERROR(INDEX(#REF!,MATCH(AS101,#REF!,0))*AT101,0))</f>
        <v>0</v>
      </c>
      <c r="AV101" s="7"/>
      <c r="AW101" s="74"/>
      <c r="AX101" s="99">
        <f>IF(OR(AV101="",AW101=""),0,IFERROR(INDEX(#REF!,MATCH(AV101,#REF!,0))*AW101,0))</f>
        <v>0</v>
      </c>
      <c r="AY101" s="7"/>
      <c r="AZ101" s="77"/>
      <c r="BA101" s="99">
        <f>IF(OR(AY101="",AZ101=""),0,IFERROR(INDEX(#REF!,MATCH(AY101,#REF!,0))*AZ101,0))</f>
        <v>0</v>
      </c>
      <c r="BB101" s="100">
        <f t="shared" si="16"/>
        <v>0</v>
      </c>
      <c r="BC101" s="110" t="str">
        <f t="shared" si="17"/>
        <v/>
      </c>
      <c r="BD101" s="62"/>
    </row>
    <row r="102" spans="1:56" ht="19.5" customHeight="1" x14ac:dyDescent="0.45">
      <c r="A102" s="104" t="str">
        <f t="shared" si="18"/>
        <v/>
      </c>
      <c r="B102" s="5"/>
      <c r="C102" s="109"/>
      <c r="D102" s="107"/>
      <c r="E102" s="6"/>
      <c r="F102" s="85"/>
      <c r="G102" s="85"/>
      <c r="H102" s="104" t="str">
        <f t="shared" si="10"/>
        <v/>
      </c>
      <c r="I102" s="103" t="str">
        <f>IFERROR(INDEX(#REF!,MATCH(E102,#REF!,0)),"")</f>
        <v/>
      </c>
      <c r="J102" s="6"/>
      <c r="K102" s="103" t="str">
        <f t="shared" si="11"/>
        <v/>
      </c>
      <c r="L102" s="8"/>
      <c r="M102" s="102" t="str">
        <f t="shared" si="12"/>
        <v/>
      </c>
      <c r="N102" s="9"/>
      <c r="O102" s="103" t="str">
        <f t="shared" si="13"/>
        <v/>
      </c>
      <c r="P102" s="6"/>
      <c r="Q102" s="7"/>
      <c r="R102" s="10"/>
      <c r="S102" s="29" t="str">
        <f t="shared" ca="1" si="14"/>
        <v/>
      </c>
      <c r="T102" s="7"/>
      <c r="U102" s="74"/>
      <c r="V102" s="101">
        <f>IF(OR(T102="",U102=""),0,IFERROR(INDEX(#REF!,MATCH(T102,#REF!,0))*U102,0))</f>
        <v>0</v>
      </c>
      <c r="W102" s="7"/>
      <c r="X102" s="74"/>
      <c r="Y102" s="101">
        <f>IF(OR(W102="",X102=""),0,IFERROR(INDEX(#REF!,MATCH(W102,#REF!,0))*X102,0))</f>
        <v>0</v>
      </c>
      <c r="Z102" s="7"/>
      <c r="AA102" s="74"/>
      <c r="AB102" s="101">
        <f>IF(OR(Z102="",AA102=""),0,IFERROR(INDEX(#REF!,MATCH(Z102,#REF!,0))*AA102,0))</f>
        <v>0</v>
      </c>
      <c r="AC102" s="7"/>
      <c r="AD102" s="74"/>
      <c r="AE102" s="101">
        <f>IF(OR(AC102="",AD102=""),0,IFERROR(INDEX(#REF!,MATCH(AC102,#REF!,0))*AD102,0))</f>
        <v>0</v>
      </c>
      <c r="AF102" s="7"/>
      <c r="AG102" s="74"/>
      <c r="AH102" s="101">
        <f>IF(OR(AF102="",AG102=""),0,IFERROR(INDEX(#REF!,MATCH(AF102,#REF!,0))*AG102,0))</f>
        <v>0</v>
      </c>
      <c r="AI102" s="7"/>
      <c r="AJ102" s="74"/>
      <c r="AK102" s="101">
        <f>IF(OR(AI102="",AJ102=""),0,IFERROR(INDEX(#REF!,MATCH(AI102,#REF!,0))*AJ102,0))</f>
        <v>0</v>
      </c>
      <c r="AL102" s="101">
        <f t="shared" si="15"/>
        <v>0</v>
      </c>
      <c r="AM102" s="7"/>
      <c r="AN102" s="72"/>
      <c r="AO102" s="99">
        <f>IF(OR(AM102="",AN102=""),0,IFERROR(INDEX(#REF!,MATCH(AM102,#REF!,0))*AN102,0))</f>
        <v>0</v>
      </c>
      <c r="AP102" s="7"/>
      <c r="AQ102" s="74"/>
      <c r="AR102" s="99">
        <f>IF(OR(AP102="",AQ102=""),0,IFERROR(INDEX(#REF!,MATCH(AP102,#REF!,0))*AQ102,0))</f>
        <v>0</v>
      </c>
      <c r="AS102" s="7"/>
      <c r="AT102" s="74"/>
      <c r="AU102" s="99">
        <f>IF(OR(AS102="",AT102=""),0,IFERROR(INDEX(#REF!,MATCH(AS102,#REF!,0))*AT102,0))</f>
        <v>0</v>
      </c>
      <c r="AV102" s="7"/>
      <c r="AW102" s="74"/>
      <c r="AX102" s="99">
        <f>IF(OR(AV102="",AW102=""),0,IFERROR(INDEX(#REF!,MATCH(AV102,#REF!,0))*AW102,0))</f>
        <v>0</v>
      </c>
      <c r="AY102" s="7"/>
      <c r="AZ102" s="77"/>
      <c r="BA102" s="99">
        <f>IF(OR(AY102="",AZ102=""),0,IFERROR(INDEX(#REF!,MATCH(AY102,#REF!,0))*AZ102,0))</f>
        <v>0</v>
      </c>
      <c r="BB102" s="100">
        <f t="shared" si="16"/>
        <v>0</v>
      </c>
      <c r="BC102" s="110" t="str">
        <f t="shared" si="17"/>
        <v/>
      </c>
      <c r="BD102" s="62"/>
    </row>
    <row r="103" spans="1:56" ht="19.5" customHeight="1" x14ac:dyDescent="0.45">
      <c r="A103" s="104" t="str">
        <f t="shared" si="18"/>
        <v/>
      </c>
      <c r="B103" s="5"/>
      <c r="C103" s="109"/>
      <c r="D103" s="107"/>
      <c r="E103" s="6"/>
      <c r="F103" s="85"/>
      <c r="G103" s="85"/>
      <c r="H103" s="104" t="str">
        <f t="shared" si="10"/>
        <v/>
      </c>
      <c r="I103" s="103" t="str">
        <f>IFERROR(INDEX(#REF!,MATCH(E103,#REF!,0)),"")</f>
        <v/>
      </c>
      <c r="J103" s="6"/>
      <c r="K103" s="103" t="str">
        <f t="shared" si="11"/>
        <v/>
      </c>
      <c r="L103" s="8"/>
      <c r="M103" s="102" t="str">
        <f t="shared" si="12"/>
        <v/>
      </c>
      <c r="N103" s="9"/>
      <c r="O103" s="103" t="str">
        <f t="shared" si="13"/>
        <v/>
      </c>
      <c r="P103" s="6"/>
      <c r="Q103" s="7"/>
      <c r="R103" s="10"/>
      <c r="S103" s="29" t="str">
        <f t="shared" ca="1" si="14"/>
        <v/>
      </c>
      <c r="T103" s="7"/>
      <c r="U103" s="74"/>
      <c r="V103" s="101">
        <f>IF(OR(T103="",U103=""),0,IFERROR(INDEX(#REF!,MATCH(T103,#REF!,0))*U103,0))</f>
        <v>0</v>
      </c>
      <c r="W103" s="7"/>
      <c r="X103" s="74"/>
      <c r="Y103" s="101">
        <f>IF(OR(W103="",X103=""),0,IFERROR(INDEX(#REF!,MATCH(W103,#REF!,0))*X103,0))</f>
        <v>0</v>
      </c>
      <c r="Z103" s="7"/>
      <c r="AA103" s="74"/>
      <c r="AB103" s="101">
        <f>IF(OR(Z103="",AA103=""),0,IFERROR(INDEX(#REF!,MATCH(Z103,#REF!,0))*AA103,0))</f>
        <v>0</v>
      </c>
      <c r="AC103" s="7"/>
      <c r="AD103" s="74"/>
      <c r="AE103" s="101">
        <f>IF(OR(AC103="",AD103=""),0,IFERROR(INDEX(#REF!,MATCH(AC103,#REF!,0))*AD103,0))</f>
        <v>0</v>
      </c>
      <c r="AF103" s="7"/>
      <c r="AG103" s="74"/>
      <c r="AH103" s="101">
        <f>IF(OR(AF103="",AG103=""),0,IFERROR(INDEX(#REF!,MATCH(AF103,#REF!,0))*AG103,0))</f>
        <v>0</v>
      </c>
      <c r="AI103" s="7"/>
      <c r="AJ103" s="74"/>
      <c r="AK103" s="101">
        <f>IF(OR(AI103="",AJ103=""),0,IFERROR(INDEX(#REF!,MATCH(AI103,#REF!,0))*AJ103,0))</f>
        <v>0</v>
      </c>
      <c r="AL103" s="101">
        <f t="shared" si="15"/>
        <v>0</v>
      </c>
      <c r="AM103" s="7"/>
      <c r="AN103" s="72"/>
      <c r="AO103" s="99">
        <f>IF(OR(AM103="",AN103=""),0,IFERROR(INDEX(#REF!,MATCH(AM103,#REF!,0))*AN103,0))</f>
        <v>0</v>
      </c>
      <c r="AP103" s="7"/>
      <c r="AQ103" s="74"/>
      <c r="AR103" s="99">
        <f>IF(OR(AP103="",AQ103=""),0,IFERROR(INDEX(#REF!,MATCH(AP103,#REF!,0))*AQ103,0))</f>
        <v>0</v>
      </c>
      <c r="AS103" s="7"/>
      <c r="AT103" s="74"/>
      <c r="AU103" s="99">
        <f>IF(OR(AS103="",AT103=""),0,IFERROR(INDEX(#REF!,MATCH(AS103,#REF!,0))*AT103,0))</f>
        <v>0</v>
      </c>
      <c r="AV103" s="7"/>
      <c r="AW103" s="74"/>
      <c r="AX103" s="99">
        <f>IF(OR(AV103="",AW103=""),0,IFERROR(INDEX(#REF!,MATCH(AV103,#REF!,0))*AW103,0))</f>
        <v>0</v>
      </c>
      <c r="AY103" s="7"/>
      <c r="AZ103" s="77"/>
      <c r="BA103" s="99">
        <f>IF(OR(AY103="",AZ103=""),0,IFERROR(INDEX(#REF!,MATCH(AY103,#REF!,0))*AZ103,0))</f>
        <v>0</v>
      </c>
      <c r="BB103" s="100">
        <f t="shared" si="16"/>
        <v>0</v>
      </c>
      <c r="BC103" s="110" t="str">
        <f t="shared" si="17"/>
        <v/>
      </c>
      <c r="BD103" s="62"/>
    </row>
    <row r="104" spans="1:56" ht="19.5" customHeight="1" x14ac:dyDescent="0.45">
      <c r="A104" s="104" t="str">
        <f t="shared" si="18"/>
        <v/>
      </c>
      <c r="B104" s="5"/>
      <c r="C104" s="109"/>
      <c r="D104" s="107"/>
      <c r="E104" s="6"/>
      <c r="F104" s="85"/>
      <c r="G104" s="85"/>
      <c r="H104" s="104" t="str">
        <f t="shared" si="10"/>
        <v/>
      </c>
      <c r="I104" s="103" t="str">
        <f>IFERROR(INDEX(#REF!,MATCH(E104,#REF!,0)),"")</f>
        <v/>
      </c>
      <c r="J104" s="6"/>
      <c r="K104" s="103" t="str">
        <f t="shared" si="11"/>
        <v/>
      </c>
      <c r="L104" s="8"/>
      <c r="M104" s="102" t="str">
        <f t="shared" si="12"/>
        <v/>
      </c>
      <c r="N104" s="9"/>
      <c r="O104" s="103" t="str">
        <f t="shared" si="13"/>
        <v/>
      </c>
      <c r="P104" s="6"/>
      <c r="Q104" s="7"/>
      <c r="R104" s="10"/>
      <c r="S104" s="29" t="str">
        <f t="shared" ca="1" si="14"/>
        <v/>
      </c>
      <c r="T104" s="7"/>
      <c r="U104" s="74"/>
      <c r="V104" s="101">
        <f>IF(OR(T104="",U104=""),0,IFERROR(INDEX(#REF!,MATCH(T104,#REF!,0))*U104,0))</f>
        <v>0</v>
      </c>
      <c r="W104" s="7"/>
      <c r="X104" s="74"/>
      <c r="Y104" s="101">
        <f>IF(OR(W104="",X104=""),0,IFERROR(INDEX(#REF!,MATCH(W104,#REF!,0))*X104,0))</f>
        <v>0</v>
      </c>
      <c r="Z104" s="7"/>
      <c r="AA104" s="74"/>
      <c r="AB104" s="101">
        <f>IF(OR(Z104="",AA104=""),0,IFERROR(INDEX(#REF!,MATCH(Z104,#REF!,0))*AA104,0))</f>
        <v>0</v>
      </c>
      <c r="AC104" s="7"/>
      <c r="AD104" s="74"/>
      <c r="AE104" s="101">
        <f>IF(OR(AC104="",AD104=""),0,IFERROR(INDEX(#REF!,MATCH(AC104,#REF!,0))*AD104,0))</f>
        <v>0</v>
      </c>
      <c r="AF104" s="7"/>
      <c r="AG104" s="74"/>
      <c r="AH104" s="101">
        <f>IF(OR(AF104="",AG104=""),0,IFERROR(INDEX(#REF!,MATCH(AF104,#REF!,0))*AG104,0))</f>
        <v>0</v>
      </c>
      <c r="AI104" s="7"/>
      <c r="AJ104" s="74"/>
      <c r="AK104" s="101">
        <f>IF(OR(AI104="",AJ104=""),0,IFERROR(INDEX(#REF!,MATCH(AI104,#REF!,0))*AJ104,0))</f>
        <v>0</v>
      </c>
      <c r="AL104" s="101">
        <f t="shared" si="15"/>
        <v>0</v>
      </c>
      <c r="AM104" s="7"/>
      <c r="AN104" s="72"/>
      <c r="AO104" s="99">
        <f>IF(OR(AM104="",AN104=""),0,IFERROR(INDEX(#REF!,MATCH(AM104,#REF!,0))*AN104,0))</f>
        <v>0</v>
      </c>
      <c r="AP104" s="7"/>
      <c r="AQ104" s="74"/>
      <c r="AR104" s="99">
        <f>IF(OR(AP104="",AQ104=""),0,IFERROR(INDEX(#REF!,MATCH(AP104,#REF!,0))*AQ104,0))</f>
        <v>0</v>
      </c>
      <c r="AS104" s="7"/>
      <c r="AT104" s="74"/>
      <c r="AU104" s="99">
        <f>IF(OR(AS104="",AT104=""),0,IFERROR(INDEX(#REF!,MATCH(AS104,#REF!,0))*AT104,0))</f>
        <v>0</v>
      </c>
      <c r="AV104" s="7"/>
      <c r="AW104" s="74"/>
      <c r="AX104" s="99">
        <f>IF(OR(AV104="",AW104=""),0,IFERROR(INDEX(#REF!,MATCH(AV104,#REF!,0))*AW104,0))</f>
        <v>0</v>
      </c>
      <c r="AY104" s="7"/>
      <c r="AZ104" s="77"/>
      <c r="BA104" s="99">
        <f>IF(OR(AY104="",AZ104=""),0,IFERROR(INDEX(#REF!,MATCH(AY104,#REF!,0))*AZ104,0))</f>
        <v>0</v>
      </c>
      <c r="BB104" s="100">
        <f t="shared" si="16"/>
        <v>0</v>
      </c>
      <c r="BC104" s="110" t="str">
        <f t="shared" si="17"/>
        <v/>
      </c>
      <c r="BD104" s="62"/>
    </row>
    <row r="105" spans="1:56" ht="19.5" customHeight="1" x14ac:dyDescent="0.45">
      <c r="A105" s="104" t="str">
        <f t="shared" si="18"/>
        <v/>
      </c>
      <c r="B105" s="5"/>
      <c r="C105" s="109"/>
      <c r="D105" s="107"/>
      <c r="E105" s="6"/>
      <c r="F105" s="85"/>
      <c r="G105" s="85"/>
      <c r="H105" s="104" t="str">
        <f t="shared" si="10"/>
        <v/>
      </c>
      <c r="I105" s="103" t="str">
        <f>IFERROR(INDEX(#REF!,MATCH(E105,#REF!,0)),"")</f>
        <v/>
      </c>
      <c r="J105" s="6"/>
      <c r="K105" s="103" t="str">
        <f t="shared" si="11"/>
        <v/>
      </c>
      <c r="L105" s="8"/>
      <c r="M105" s="102" t="str">
        <f t="shared" si="12"/>
        <v/>
      </c>
      <c r="N105" s="9"/>
      <c r="O105" s="103" t="str">
        <f t="shared" si="13"/>
        <v/>
      </c>
      <c r="P105" s="6"/>
      <c r="Q105" s="7"/>
      <c r="R105" s="10"/>
      <c r="S105" s="29" t="str">
        <f t="shared" ca="1" si="14"/>
        <v/>
      </c>
      <c r="T105" s="7"/>
      <c r="U105" s="74"/>
      <c r="V105" s="101">
        <f>IF(OR(T105="",U105=""),0,IFERROR(INDEX(#REF!,MATCH(T105,#REF!,0))*U105,0))</f>
        <v>0</v>
      </c>
      <c r="W105" s="7"/>
      <c r="X105" s="74"/>
      <c r="Y105" s="101">
        <f>IF(OR(W105="",X105=""),0,IFERROR(INDEX(#REF!,MATCH(W105,#REF!,0))*X105,0))</f>
        <v>0</v>
      </c>
      <c r="Z105" s="7"/>
      <c r="AA105" s="74"/>
      <c r="AB105" s="101">
        <f>IF(OR(Z105="",AA105=""),0,IFERROR(INDEX(#REF!,MATCH(Z105,#REF!,0))*AA105,0))</f>
        <v>0</v>
      </c>
      <c r="AC105" s="7"/>
      <c r="AD105" s="74"/>
      <c r="AE105" s="101">
        <f>IF(OR(AC105="",AD105=""),0,IFERROR(INDEX(#REF!,MATCH(AC105,#REF!,0))*AD105,0))</f>
        <v>0</v>
      </c>
      <c r="AF105" s="7"/>
      <c r="AG105" s="74"/>
      <c r="AH105" s="101">
        <f>IF(OR(AF105="",AG105=""),0,IFERROR(INDEX(#REF!,MATCH(AF105,#REF!,0))*AG105,0))</f>
        <v>0</v>
      </c>
      <c r="AI105" s="7"/>
      <c r="AJ105" s="74"/>
      <c r="AK105" s="101">
        <f>IF(OR(AI105="",AJ105=""),0,IFERROR(INDEX(#REF!,MATCH(AI105,#REF!,0))*AJ105,0))</f>
        <v>0</v>
      </c>
      <c r="AL105" s="101">
        <f t="shared" si="15"/>
        <v>0</v>
      </c>
      <c r="AM105" s="7"/>
      <c r="AN105" s="72"/>
      <c r="AO105" s="99">
        <f>IF(OR(AM105="",AN105=""),0,IFERROR(INDEX(#REF!,MATCH(AM105,#REF!,0))*AN105,0))</f>
        <v>0</v>
      </c>
      <c r="AP105" s="7"/>
      <c r="AQ105" s="74"/>
      <c r="AR105" s="99">
        <f>IF(OR(AP105="",AQ105=""),0,IFERROR(INDEX(#REF!,MATCH(AP105,#REF!,0))*AQ105,0))</f>
        <v>0</v>
      </c>
      <c r="AS105" s="7"/>
      <c r="AT105" s="74"/>
      <c r="AU105" s="99">
        <f>IF(OR(AS105="",AT105=""),0,IFERROR(INDEX(#REF!,MATCH(AS105,#REF!,0))*AT105,0))</f>
        <v>0</v>
      </c>
      <c r="AV105" s="7"/>
      <c r="AW105" s="74"/>
      <c r="AX105" s="99">
        <f>IF(OR(AV105="",AW105=""),0,IFERROR(INDEX(#REF!,MATCH(AV105,#REF!,0))*AW105,0))</f>
        <v>0</v>
      </c>
      <c r="AY105" s="7"/>
      <c r="AZ105" s="77"/>
      <c r="BA105" s="99">
        <f>IF(OR(AY105="",AZ105=""),0,IFERROR(INDEX(#REF!,MATCH(AY105,#REF!,0))*AZ105,0))</f>
        <v>0</v>
      </c>
      <c r="BB105" s="100">
        <f t="shared" si="16"/>
        <v>0</v>
      </c>
      <c r="BC105" s="110" t="str">
        <f t="shared" si="17"/>
        <v/>
      </c>
      <c r="BD105" s="62"/>
    </row>
    <row r="106" spans="1:56" ht="19.5" customHeight="1" x14ac:dyDescent="0.45">
      <c r="A106" s="104" t="str">
        <f t="shared" si="18"/>
        <v/>
      </c>
      <c r="B106" s="5"/>
      <c r="C106" s="109"/>
      <c r="D106" s="107"/>
      <c r="E106" s="6"/>
      <c r="F106" s="85"/>
      <c r="G106" s="85"/>
      <c r="H106" s="104" t="str">
        <f t="shared" si="10"/>
        <v/>
      </c>
      <c r="I106" s="103" t="str">
        <f>IFERROR(INDEX(#REF!,MATCH(E106,#REF!,0)),"")</f>
        <v/>
      </c>
      <c r="J106" s="6"/>
      <c r="K106" s="103" t="str">
        <f t="shared" si="11"/>
        <v/>
      </c>
      <c r="L106" s="8"/>
      <c r="M106" s="102" t="str">
        <f t="shared" si="12"/>
        <v/>
      </c>
      <c r="N106" s="9"/>
      <c r="O106" s="103" t="str">
        <f t="shared" si="13"/>
        <v/>
      </c>
      <c r="P106" s="6"/>
      <c r="Q106" s="7"/>
      <c r="R106" s="10"/>
      <c r="S106" s="29" t="str">
        <f t="shared" ca="1" si="14"/>
        <v/>
      </c>
      <c r="T106" s="7"/>
      <c r="U106" s="74"/>
      <c r="V106" s="101">
        <f>IF(OR(T106="",U106=""),0,IFERROR(INDEX(#REF!,MATCH(T106,#REF!,0))*U106,0))</f>
        <v>0</v>
      </c>
      <c r="W106" s="7"/>
      <c r="X106" s="74"/>
      <c r="Y106" s="101">
        <f>IF(OR(W106="",X106=""),0,IFERROR(INDEX(#REF!,MATCH(W106,#REF!,0))*X106,0))</f>
        <v>0</v>
      </c>
      <c r="Z106" s="7"/>
      <c r="AA106" s="74"/>
      <c r="AB106" s="101">
        <f>IF(OR(Z106="",AA106=""),0,IFERROR(INDEX(#REF!,MATCH(Z106,#REF!,0))*AA106,0))</f>
        <v>0</v>
      </c>
      <c r="AC106" s="7"/>
      <c r="AD106" s="74"/>
      <c r="AE106" s="101">
        <f>IF(OR(AC106="",AD106=""),0,IFERROR(INDEX(#REF!,MATCH(AC106,#REF!,0))*AD106,0))</f>
        <v>0</v>
      </c>
      <c r="AF106" s="7"/>
      <c r="AG106" s="74"/>
      <c r="AH106" s="101">
        <f>IF(OR(AF106="",AG106=""),0,IFERROR(INDEX(#REF!,MATCH(AF106,#REF!,0))*AG106,0))</f>
        <v>0</v>
      </c>
      <c r="AI106" s="7"/>
      <c r="AJ106" s="74"/>
      <c r="AK106" s="101">
        <f>IF(OR(AI106="",AJ106=""),0,IFERROR(INDEX(#REF!,MATCH(AI106,#REF!,0))*AJ106,0))</f>
        <v>0</v>
      </c>
      <c r="AL106" s="101">
        <f t="shared" si="15"/>
        <v>0</v>
      </c>
      <c r="AM106" s="7"/>
      <c r="AN106" s="72"/>
      <c r="AO106" s="99">
        <f>IF(OR(AM106="",AN106=""),0,IFERROR(INDEX(#REF!,MATCH(AM106,#REF!,0))*AN106,0))</f>
        <v>0</v>
      </c>
      <c r="AP106" s="7"/>
      <c r="AQ106" s="74"/>
      <c r="AR106" s="99">
        <f>IF(OR(AP106="",AQ106=""),0,IFERROR(INDEX(#REF!,MATCH(AP106,#REF!,0))*AQ106,0))</f>
        <v>0</v>
      </c>
      <c r="AS106" s="7"/>
      <c r="AT106" s="74"/>
      <c r="AU106" s="99">
        <f>IF(OR(AS106="",AT106=""),0,IFERROR(INDEX(#REF!,MATCH(AS106,#REF!,0))*AT106,0))</f>
        <v>0</v>
      </c>
      <c r="AV106" s="7"/>
      <c r="AW106" s="74"/>
      <c r="AX106" s="99">
        <f>IF(OR(AV106="",AW106=""),0,IFERROR(INDEX(#REF!,MATCH(AV106,#REF!,0))*AW106,0))</f>
        <v>0</v>
      </c>
      <c r="AY106" s="7"/>
      <c r="AZ106" s="77"/>
      <c r="BA106" s="99">
        <f>IF(OR(AY106="",AZ106=""),0,IFERROR(INDEX(#REF!,MATCH(AY106,#REF!,0))*AZ106,0))</f>
        <v>0</v>
      </c>
      <c r="BB106" s="100">
        <f t="shared" si="16"/>
        <v>0</v>
      </c>
      <c r="BC106" s="110" t="str">
        <f t="shared" si="17"/>
        <v/>
      </c>
      <c r="BD106" s="62"/>
    </row>
    <row r="107" spans="1:56" ht="19.5" customHeight="1" x14ac:dyDescent="0.45">
      <c r="A107" s="104" t="str">
        <f t="shared" si="18"/>
        <v/>
      </c>
      <c r="B107" s="5"/>
      <c r="C107" s="109"/>
      <c r="D107" s="107"/>
      <c r="E107" s="6"/>
      <c r="F107" s="85"/>
      <c r="G107" s="85"/>
      <c r="H107" s="104" t="str">
        <f t="shared" si="10"/>
        <v/>
      </c>
      <c r="I107" s="103" t="str">
        <f>IFERROR(INDEX(#REF!,MATCH(E107,#REF!,0)),"")</f>
        <v/>
      </c>
      <c r="J107" s="6"/>
      <c r="K107" s="103" t="str">
        <f t="shared" si="11"/>
        <v/>
      </c>
      <c r="L107" s="8"/>
      <c r="M107" s="102" t="str">
        <f t="shared" si="12"/>
        <v/>
      </c>
      <c r="N107" s="9"/>
      <c r="O107" s="103" t="str">
        <f t="shared" si="13"/>
        <v/>
      </c>
      <c r="P107" s="6"/>
      <c r="Q107" s="7"/>
      <c r="R107" s="10"/>
      <c r="S107" s="29" t="str">
        <f t="shared" ca="1" si="14"/>
        <v/>
      </c>
      <c r="T107" s="7"/>
      <c r="U107" s="74"/>
      <c r="V107" s="101">
        <f>IF(OR(T107="",U107=""),0,IFERROR(INDEX(#REF!,MATCH(T107,#REF!,0))*U107,0))</f>
        <v>0</v>
      </c>
      <c r="W107" s="7"/>
      <c r="X107" s="74"/>
      <c r="Y107" s="101">
        <f>IF(OR(W107="",X107=""),0,IFERROR(INDEX(#REF!,MATCH(W107,#REF!,0))*X107,0))</f>
        <v>0</v>
      </c>
      <c r="Z107" s="7"/>
      <c r="AA107" s="74"/>
      <c r="AB107" s="101">
        <f>IF(OR(Z107="",AA107=""),0,IFERROR(INDEX(#REF!,MATCH(Z107,#REF!,0))*AA107,0))</f>
        <v>0</v>
      </c>
      <c r="AC107" s="7"/>
      <c r="AD107" s="74"/>
      <c r="AE107" s="101">
        <f>IF(OR(AC107="",AD107=""),0,IFERROR(INDEX(#REF!,MATCH(AC107,#REF!,0))*AD107,0))</f>
        <v>0</v>
      </c>
      <c r="AF107" s="7"/>
      <c r="AG107" s="74"/>
      <c r="AH107" s="101">
        <f>IF(OR(AF107="",AG107=""),0,IFERROR(INDEX(#REF!,MATCH(AF107,#REF!,0))*AG107,0))</f>
        <v>0</v>
      </c>
      <c r="AI107" s="7"/>
      <c r="AJ107" s="74"/>
      <c r="AK107" s="101">
        <f>IF(OR(AI107="",AJ107=""),0,IFERROR(INDEX(#REF!,MATCH(AI107,#REF!,0))*AJ107,0))</f>
        <v>0</v>
      </c>
      <c r="AL107" s="101">
        <f t="shared" si="15"/>
        <v>0</v>
      </c>
      <c r="AM107" s="7"/>
      <c r="AN107" s="72"/>
      <c r="AO107" s="99">
        <f>IF(OR(AM107="",AN107=""),0,IFERROR(INDEX(#REF!,MATCH(AM107,#REF!,0))*AN107,0))</f>
        <v>0</v>
      </c>
      <c r="AP107" s="7"/>
      <c r="AQ107" s="74"/>
      <c r="AR107" s="99">
        <f>IF(OR(AP107="",AQ107=""),0,IFERROR(INDEX(#REF!,MATCH(AP107,#REF!,0))*AQ107,0))</f>
        <v>0</v>
      </c>
      <c r="AS107" s="7"/>
      <c r="AT107" s="74"/>
      <c r="AU107" s="99">
        <f>IF(OR(AS107="",AT107=""),0,IFERROR(INDEX(#REF!,MATCH(AS107,#REF!,0))*AT107,0))</f>
        <v>0</v>
      </c>
      <c r="AV107" s="7"/>
      <c r="AW107" s="74"/>
      <c r="AX107" s="99">
        <f>IF(OR(AV107="",AW107=""),0,IFERROR(INDEX(#REF!,MATCH(AV107,#REF!,0))*AW107,0))</f>
        <v>0</v>
      </c>
      <c r="AY107" s="7"/>
      <c r="AZ107" s="77"/>
      <c r="BA107" s="99">
        <f>IF(OR(AY107="",AZ107=""),0,IFERROR(INDEX(#REF!,MATCH(AY107,#REF!,0))*AZ107,0))</f>
        <v>0</v>
      </c>
      <c r="BB107" s="100">
        <f t="shared" si="16"/>
        <v>0</v>
      </c>
      <c r="BC107" s="110" t="str">
        <f t="shared" si="17"/>
        <v/>
      </c>
      <c r="BD107" s="62"/>
    </row>
    <row r="108" spans="1:56" ht="19.5" customHeight="1" x14ac:dyDescent="0.45">
      <c r="A108" s="104" t="str">
        <f t="shared" si="18"/>
        <v/>
      </c>
      <c r="B108" s="5"/>
      <c r="C108" s="109"/>
      <c r="D108" s="107"/>
      <c r="E108" s="6"/>
      <c r="F108" s="85"/>
      <c r="G108" s="85"/>
      <c r="H108" s="104" t="str">
        <f t="shared" si="10"/>
        <v/>
      </c>
      <c r="I108" s="103" t="str">
        <f>IFERROR(INDEX(#REF!,MATCH(E108,#REF!,0)),"")</f>
        <v/>
      </c>
      <c r="J108" s="6"/>
      <c r="K108" s="103" t="str">
        <f t="shared" si="11"/>
        <v/>
      </c>
      <c r="L108" s="8"/>
      <c r="M108" s="102" t="str">
        <f t="shared" si="12"/>
        <v/>
      </c>
      <c r="N108" s="9"/>
      <c r="O108" s="103" t="str">
        <f t="shared" si="13"/>
        <v/>
      </c>
      <c r="P108" s="6"/>
      <c r="Q108" s="7"/>
      <c r="R108" s="10"/>
      <c r="S108" s="29" t="str">
        <f t="shared" ca="1" si="14"/>
        <v/>
      </c>
      <c r="T108" s="7"/>
      <c r="U108" s="74"/>
      <c r="V108" s="101">
        <f>IF(OR(T108="",U108=""),0,IFERROR(INDEX(#REF!,MATCH(T108,#REF!,0))*U108,0))</f>
        <v>0</v>
      </c>
      <c r="W108" s="7"/>
      <c r="X108" s="74"/>
      <c r="Y108" s="101">
        <f>IF(OR(W108="",X108=""),0,IFERROR(INDEX(#REF!,MATCH(W108,#REF!,0))*X108,0))</f>
        <v>0</v>
      </c>
      <c r="Z108" s="7"/>
      <c r="AA108" s="74"/>
      <c r="AB108" s="101">
        <f>IF(OR(Z108="",AA108=""),0,IFERROR(INDEX(#REF!,MATCH(Z108,#REF!,0))*AA108,0))</f>
        <v>0</v>
      </c>
      <c r="AC108" s="7"/>
      <c r="AD108" s="74"/>
      <c r="AE108" s="101">
        <f>IF(OR(AC108="",AD108=""),0,IFERROR(INDEX(#REF!,MATCH(AC108,#REF!,0))*AD108,0))</f>
        <v>0</v>
      </c>
      <c r="AF108" s="7"/>
      <c r="AG108" s="74"/>
      <c r="AH108" s="101">
        <f>IF(OR(AF108="",AG108=""),0,IFERROR(INDEX(#REF!,MATCH(AF108,#REF!,0))*AG108,0))</f>
        <v>0</v>
      </c>
      <c r="AI108" s="7"/>
      <c r="AJ108" s="74"/>
      <c r="AK108" s="101">
        <f>IF(OR(AI108="",AJ108=""),0,IFERROR(INDEX(#REF!,MATCH(AI108,#REF!,0))*AJ108,0))</f>
        <v>0</v>
      </c>
      <c r="AL108" s="101">
        <f t="shared" si="15"/>
        <v>0</v>
      </c>
      <c r="AM108" s="7"/>
      <c r="AN108" s="72"/>
      <c r="AO108" s="99">
        <f>IF(OR(AM108="",AN108=""),0,IFERROR(INDEX(#REF!,MATCH(AM108,#REF!,0))*AN108,0))</f>
        <v>0</v>
      </c>
      <c r="AP108" s="7"/>
      <c r="AQ108" s="74"/>
      <c r="AR108" s="99">
        <f>IF(OR(AP108="",AQ108=""),0,IFERROR(INDEX(#REF!,MATCH(AP108,#REF!,0))*AQ108,0))</f>
        <v>0</v>
      </c>
      <c r="AS108" s="7"/>
      <c r="AT108" s="74"/>
      <c r="AU108" s="99">
        <f>IF(OR(AS108="",AT108=""),0,IFERROR(INDEX(#REF!,MATCH(AS108,#REF!,0))*AT108,0))</f>
        <v>0</v>
      </c>
      <c r="AV108" s="7"/>
      <c r="AW108" s="74"/>
      <c r="AX108" s="99">
        <f>IF(OR(AV108="",AW108=""),0,IFERROR(INDEX(#REF!,MATCH(AV108,#REF!,0))*AW108,0))</f>
        <v>0</v>
      </c>
      <c r="AY108" s="7"/>
      <c r="AZ108" s="77"/>
      <c r="BA108" s="99">
        <f>IF(OR(AY108="",AZ108=""),0,IFERROR(INDEX(#REF!,MATCH(AY108,#REF!,0))*AZ108,0))</f>
        <v>0</v>
      </c>
      <c r="BB108" s="100">
        <f t="shared" si="16"/>
        <v>0</v>
      </c>
      <c r="BC108" s="110" t="str">
        <f t="shared" si="17"/>
        <v/>
      </c>
      <c r="BD108" s="62"/>
    </row>
    <row r="109" spans="1:56" ht="19.5" customHeight="1" x14ac:dyDescent="0.45">
      <c r="A109" s="104" t="str">
        <f t="shared" si="18"/>
        <v/>
      </c>
      <c r="B109" s="5"/>
      <c r="C109" s="109"/>
      <c r="D109" s="107"/>
      <c r="E109" s="6"/>
      <c r="F109" s="85"/>
      <c r="G109" s="85"/>
      <c r="H109" s="104" t="str">
        <f t="shared" si="10"/>
        <v/>
      </c>
      <c r="I109" s="103" t="str">
        <f>IFERROR(INDEX(#REF!,MATCH(E109,#REF!,0)),"")</f>
        <v/>
      </c>
      <c r="J109" s="6"/>
      <c r="K109" s="103" t="str">
        <f t="shared" si="11"/>
        <v/>
      </c>
      <c r="L109" s="8"/>
      <c r="M109" s="102" t="str">
        <f t="shared" si="12"/>
        <v/>
      </c>
      <c r="N109" s="9"/>
      <c r="O109" s="103" t="str">
        <f t="shared" si="13"/>
        <v/>
      </c>
      <c r="P109" s="6"/>
      <c r="Q109" s="7"/>
      <c r="R109" s="10"/>
      <c r="S109" s="29" t="str">
        <f t="shared" ca="1" si="14"/>
        <v/>
      </c>
      <c r="T109" s="7"/>
      <c r="U109" s="74"/>
      <c r="V109" s="101">
        <f>IF(OR(T109="",U109=""),0,IFERROR(INDEX(#REF!,MATCH(T109,#REF!,0))*U109,0))</f>
        <v>0</v>
      </c>
      <c r="W109" s="7"/>
      <c r="X109" s="74"/>
      <c r="Y109" s="101">
        <f>IF(OR(W109="",X109=""),0,IFERROR(INDEX(#REF!,MATCH(W109,#REF!,0))*X109,0))</f>
        <v>0</v>
      </c>
      <c r="Z109" s="7"/>
      <c r="AA109" s="74"/>
      <c r="AB109" s="101">
        <f>IF(OR(Z109="",AA109=""),0,IFERROR(INDEX(#REF!,MATCH(Z109,#REF!,0))*AA109,0))</f>
        <v>0</v>
      </c>
      <c r="AC109" s="7"/>
      <c r="AD109" s="74"/>
      <c r="AE109" s="101">
        <f>IF(OR(AC109="",AD109=""),0,IFERROR(INDEX(#REF!,MATCH(AC109,#REF!,0))*AD109,0))</f>
        <v>0</v>
      </c>
      <c r="AF109" s="7"/>
      <c r="AG109" s="74"/>
      <c r="AH109" s="101">
        <f>IF(OR(AF109="",AG109=""),0,IFERROR(INDEX(#REF!,MATCH(AF109,#REF!,0))*AG109,0))</f>
        <v>0</v>
      </c>
      <c r="AI109" s="7"/>
      <c r="AJ109" s="74"/>
      <c r="AK109" s="101">
        <f>IF(OR(AI109="",AJ109=""),0,IFERROR(INDEX(#REF!,MATCH(AI109,#REF!,0))*AJ109,0))</f>
        <v>0</v>
      </c>
      <c r="AL109" s="101">
        <f t="shared" si="15"/>
        <v>0</v>
      </c>
      <c r="AM109" s="7"/>
      <c r="AN109" s="72"/>
      <c r="AO109" s="99">
        <f>IF(OR(AM109="",AN109=""),0,IFERROR(INDEX(#REF!,MATCH(AM109,#REF!,0))*AN109,0))</f>
        <v>0</v>
      </c>
      <c r="AP109" s="7"/>
      <c r="AQ109" s="74"/>
      <c r="AR109" s="99">
        <f>IF(OR(AP109="",AQ109=""),0,IFERROR(INDEX(#REF!,MATCH(AP109,#REF!,0))*AQ109,0))</f>
        <v>0</v>
      </c>
      <c r="AS109" s="7"/>
      <c r="AT109" s="74"/>
      <c r="AU109" s="99">
        <f>IF(OR(AS109="",AT109=""),0,IFERROR(INDEX(#REF!,MATCH(AS109,#REF!,0))*AT109,0))</f>
        <v>0</v>
      </c>
      <c r="AV109" s="7"/>
      <c r="AW109" s="74"/>
      <c r="AX109" s="99">
        <f>IF(OR(AV109="",AW109=""),0,IFERROR(INDEX(#REF!,MATCH(AV109,#REF!,0))*AW109,0))</f>
        <v>0</v>
      </c>
      <c r="AY109" s="7"/>
      <c r="AZ109" s="77"/>
      <c r="BA109" s="99">
        <f>IF(OR(AY109="",AZ109=""),0,IFERROR(INDEX(#REF!,MATCH(AY109,#REF!,0))*AZ109,0))</f>
        <v>0</v>
      </c>
      <c r="BB109" s="100">
        <f t="shared" si="16"/>
        <v>0</v>
      </c>
      <c r="BC109" s="110" t="str">
        <f t="shared" si="17"/>
        <v/>
      </c>
      <c r="BD109" s="62"/>
    </row>
    <row r="110" spans="1:56" ht="19.5" customHeight="1" x14ac:dyDescent="0.45">
      <c r="A110" s="104" t="str">
        <f t="shared" si="18"/>
        <v/>
      </c>
      <c r="B110" s="5"/>
      <c r="C110" s="109"/>
      <c r="D110" s="107"/>
      <c r="E110" s="6"/>
      <c r="F110" s="85"/>
      <c r="G110" s="85"/>
      <c r="H110" s="104" t="str">
        <f t="shared" si="10"/>
        <v/>
      </c>
      <c r="I110" s="103" t="str">
        <f>IFERROR(INDEX(#REF!,MATCH(E110,#REF!,0)),"")</f>
        <v/>
      </c>
      <c r="J110" s="6"/>
      <c r="K110" s="103" t="str">
        <f t="shared" si="11"/>
        <v/>
      </c>
      <c r="L110" s="8"/>
      <c r="M110" s="102" t="str">
        <f t="shared" si="12"/>
        <v/>
      </c>
      <c r="N110" s="9"/>
      <c r="O110" s="103" t="str">
        <f t="shared" si="13"/>
        <v/>
      </c>
      <c r="P110" s="6"/>
      <c r="Q110" s="7"/>
      <c r="R110" s="10"/>
      <c r="S110" s="29" t="str">
        <f t="shared" ca="1" si="14"/>
        <v/>
      </c>
      <c r="T110" s="7"/>
      <c r="U110" s="74"/>
      <c r="V110" s="101">
        <f>IF(OR(T110="",U110=""),0,IFERROR(INDEX(#REF!,MATCH(T110,#REF!,0))*U110,0))</f>
        <v>0</v>
      </c>
      <c r="W110" s="7"/>
      <c r="X110" s="74"/>
      <c r="Y110" s="101">
        <f>IF(OR(W110="",X110=""),0,IFERROR(INDEX(#REF!,MATCH(W110,#REF!,0))*X110,0))</f>
        <v>0</v>
      </c>
      <c r="Z110" s="7"/>
      <c r="AA110" s="74"/>
      <c r="AB110" s="101">
        <f>IF(OR(Z110="",AA110=""),0,IFERROR(INDEX(#REF!,MATCH(Z110,#REF!,0))*AA110,0))</f>
        <v>0</v>
      </c>
      <c r="AC110" s="7"/>
      <c r="AD110" s="74"/>
      <c r="AE110" s="101">
        <f>IF(OR(AC110="",AD110=""),0,IFERROR(INDEX(#REF!,MATCH(AC110,#REF!,0))*AD110,0))</f>
        <v>0</v>
      </c>
      <c r="AF110" s="7"/>
      <c r="AG110" s="74"/>
      <c r="AH110" s="101">
        <f>IF(OR(AF110="",AG110=""),0,IFERROR(INDEX(#REF!,MATCH(AF110,#REF!,0))*AG110,0))</f>
        <v>0</v>
      </c>
      <c r="AI110" s="7"/>
      <c r="AJ110" s="74"/>
      <c r="AK110" s="101">
        <f>IF(OR(AI110="",AJ110=""),0,IFERROR(INDEX(#REF!,MATCH(AI110,#REF!,0))*AJ110,0))</f>
        <v>0</v>
      </c>
      <c r="AL110" s="101">
        <f t="shared" si="15"/>
        <v>0</v>
      </c>
      <c r="AM110" s="7"/>
      <c r="AN110" s="72"/>
      <c r="AO110" s="99">
        <f>IF(OR(AM110="",AN110=""),0,IFERROR(INDEX(#REF!,MATCH(AM110,#REF!,0))*AN110,0))</f>
        <v>0</v>
      </c>
      <c r="AP110" s="7"/>
      <c r="AQ110" s="74"/>
      <c r="AR110" s="99">
        <f>IF(OR(AP110="",AQ110=""),0,IFERROR(INDEX(#REF!,MATCH(AP110,#REF!,0))*AQ110,0))</f>
        <v>0</v>
      </c>
      <c r="AS110" s="7"/>
      <c r="AT110" s="74"/>
      <c r="AU110" s="99">
        <f>IF(OR(AS110="",AT110=""),0,IFERROR(INDEX(#REF!,MATCH(AS110,#REF!,0))*AT110,0))</f>
        <v>0</v>
      </c>
      <c r="AV110" s="7"/>
      <c r="AW110" s="74"/>
      <c r="AX110" s="99">
        <f>IF(OR(AV110="",AW110=""),0,IFERROR(INDEX(#REF!,MATCH(AV110,#REF!,0))*AW110,0))</f>
        <v>0</v>
      </c>
      <c r="AY110" s="7"/>
      <c r="AZ110" s="77"/>
      <c r="BA110" s="99">
        <f>IF(OR(AY110="",AZ110=""),0,IFERROR(INDEX(#REF!,MATCH(AY110,#REF!,0))*AZ110,0))</f>
        <v>0</v>
      </c>
      <c r="BB110" s="100">
        <f t="shared" si="16"/>
        <v>0</v>
      </c>
      <c r="BC110" s="110" t="str">
        <f t="shared" si="17"/>
        <v/>
      </c>
      <c r="BD110" s="62"/>
    </row>
    <row r="111" spans="1:56" ht="19.5" customHeight="1" x14ac:dyDescent="0.45">
      <c r="A111" s="104" t="str">
        <f t="shared" si="18"/>
        <v/>
      </c>
      <c r="B111" s="5"/>
      <c r="C111" s="109"/>
      <c r="D111" s="107"/>
      <c r="E111" s="6"/>
      <c r="F111" s="85"/>
      <c r="G111" s="85"/>
      <c r="H111" s="104" t="str">
        <f t="shared" si="10"/>
        <v/>
      </c>
      <c r="I111" s="103" t="str">
        <f>IFERROR(INDEX(#REF!,MATCH(E111,#REF!,0)),"")</f>
        <v/>
      </c>
      <c r="J111" s="6"/>
      <c r="K111" s="103" t="str">
        <f t="shared" si="11"/>
        <v/>
      </c>
      <c r="L111" s="8"/>
      <c r="M111" s="102" t="str">
        <f t="shared" si="12"/>
        <v/>
      </c>
      <c r="N111" s="9"/>
      <c r="O111" s="103" t="str">
        <f t="shared" si="13"/>
        <v/>
      </c>
      <c r="P111" s="6"/>
      <c r="Q111" s="7"/>
      <c r="R111" s="10"/>
      <c r="S111" s="29" t="str">
        <f t="shared" ca="1" si="14"/>
        <v/>
      </c>
      <c r="T111" s="7"/>
      <c r="U111" s="74"/>
      <c r="V111" s="101">
        <f>IF(OR(T111="",U111=""),0,IFERROR(INDEX(#REF!,MATCH(T111,#REF!,0))*U111,0))</f>
        <v>0</v>
      </c>
      <c r="W111" s="7"/>
      <c r="X111" s="74"/>
      <c r="Y111" s="101">
        <f>IF(OR(W111="",X111=""),0,IFERROR(INDEX(#REF!,MATCH(W111,#REF!,0))*X111,0))</f>
        <v>0</v>
      </c>
      <c r="Z111" s="7"/>
      <c r="AA111" s="74"/>
      <c r="AB111" s="101">
        <f>IF(OR(Z111="",AA111=""),0,IFERROR(INDEX(#REF!,MATCH(Z111,#REF!,0))*AA111,0))</f>
        <v>0</v>
      </c>
      <c r="AC111" s="7"/>
      <c r="AD111" s="74"/>
      <c r="AE111" s="101">
        <f>IF(OR(AC111="",AD111=""),0,IFERROR(INDEX(#REF!,MATCH(AC111,#REF!,0))*AD111,0))</f>
        <v>0</v>
      </c>
      <c r="AF111" s="7"/>
      <c r="AG111" s="74"/>
      <c r="AH111" s="101">
        <f>IF(OR(AF111="",AG111=""),0,IFERROR(INDEX(#REF!,MATCH(AF111,#REF!,0))*AG111,0))</f>
        <v>0</v>
      </c>
      <c r="AI111" s="7"/>
      <c r="AJ111" s="74"/>
      <c r="AK111" s="101">
        <f>IF(OR(AI111="",AJ111=""),0,IFERROR(INDEX(#REF!,MATCH(AI111,#REF!,0))*AJ111,0))</f>
        <v>0</v>
      </c>
      <c r="AL111" s="101">
        <f t="shared" si="15"/>
        <v>0</v>
      </c>
      <c r="AM111" s="7"/>
      <c r="AN111" s="72"/>
      <c r="AO111" s="99">
        <f>IF(OR(AM111="",AN111=""),0,IFERROR(INDEX(#REF!,MATCH(AM111,#REF!,0))*AN111,0))</f>
        <v>0</v>
      </c>
      <c r="AP111" s="7"/>
      <c r="AQ111" s="74"/>
      <c r="AR111" s="99">
        <f>IF(OR(AP111="",AQ111=""),0,IFERROR(INDEX(#REF!,MATCH(AP111,#REF!,0))*AQ111,0))</f>
        <v>0</v>
      </c>
      <c r="AS111" s="7"/>
      <c r="AT111" s="74"/>
      <c r="AU111" s="99">
        <f>IF(OR(AS111="",AT111=""),0,IFERROR(INDEX(#REF!,MATCH(AS111,#REF!,0))*AT111,0))</f>
        <v>0</v>
      </c>
      <c r="AV111" s="7"/>
      <c r="AW111" s="74"/>
      <c r="AX111" s="99">
        <f>IF(OR(AV111="",AW111=""),0,IFERROR(INDEX(#REF!,MATCH(AV111,#REF!,0))*AW111,0))</f>
        <v>0</v>
      </c>
      <c r="AY111" s="7"/>
      <c r="AZ111" s="77"/>
      <c r="BA111" s="99">
        <f>IF(OR(AY111="",AZ111=""),0,IFERROR(INDEX(#REF!,MATCH(AY111,#REF!,0))*AZ111,0))</f>
        <v>0</v>
      </c>
      <c r="BB111" s="100">
        <f t="shared" si="16"/>
        <v>0</v>
      </c>
      <c r="BC111" s="110" t="str">
        <f t="shared" si="17"/>
        <v/>
      </c>
      <c r="BD111" s="62"/>
    </row>
    <row r="112" spans="1:56" ht="19.5" customHeight="1" x14ac:dyDescent="0.45">
      <c r="A112" s="104" t="str">
        <f t="shared" si="18"/>
        <v/>
      </c>
      <c r="B112" s="5"/>
      <c r="C112" s="109"/>
      <c r="D112" s="107"/>
      <c r="E112" s="6"/>
      <c r="F112" s="85"/>
      <c r="G112" s="85"/>
      <c r="H112" s="104" t="str">
        <f t="shared" si="10"/>
        <v/>
      </c>
      <c r="I112" s="103" t="str">
        <f>IFERROR(INDEX(#REF!,MATCH(E112,#REF!,0)),"")</f>
        <v/>
      </c>
      <c r="J112" s="6"/>
      <c r="K112" s="103" t="str">
        <f t="shared" si="11"/>
        <v/>
      </c>
      <c r="L112" s="8"/>
      <c r="M112" s="102" t="str">
        <f t="shared" si="12"/>
        <v/>
      </c>
      <c r="N112" s="9"/>
      <c r="O112" s="103" t="str">
        <f t="shared" si="13"/>
        <v/>
      </c>
      <c r="P112" s="6"/>
      <c r="Q112" s="7"/>
      <c r="R112" s="10"/>
      <c r="S112" s="29" t="str">
        <f t="shared" ca="1" si="14"/>
        <v/>
      </c>
      <c r="T112" s="7"/>
      <c r="U112" s="74"/>
      <c r="V112" s="101">
        <f>IF(OR(T112="",U112=""),0,IFERROR(INDEX(#REF!,MATCH(T112,#REF!,0))*U112,0))</f>
        <v>0</v>
      </c>
      <c r="W112" s="7"/>
      <c r="X112" s="74"/>
      <c r="Y112" s="101">
        <f>IF(OR(W112="",X112=""),0,IFERROR(INDEX(#REF!,MATCH(W112,#REF!,0))*X112,0))</f>
        <v>0</v>
      </c>
      <c r="Z112" s="7"/>
      <c r="AA112" s="74"/>
      <c r="AB112" s="101">
        <f>IF(OR(Z112="",AA112=""),0,IFERROR(INDEX(#REF!,MATCH(Z112,#REF!,0))*AA112,0))</f>
        <v>0</v>
      </c>
      <c r="AC112" s="7"/>
      <c r="AD112" s="74"/>
      <c r="AE112" s="101">
        <f>IF(OR(AC112="",AD112=""),0,IFERROR(INDEX(#REF!,MATCH(AC112,#REF!,0))*AD112,0))</f>
        <v>0</v>
      </c>
      <c r="AF112" s="7"/>
      <c r="AG112" s="74"/>
      <c r="AH112" s="101">
        <f>IF(OR(AF112="",AG112=""),0,IFERROR(INDEX(#REF!,MATCH(AF112,#REF!,0))*AG112,0))</f>
        <v>0</v>
      </c>
      <c r="AI112" s="7"/>
      <c r="AJ112" s="74"/>
      <c r="AK112" s="101">
        <f>IF(OR(AI112="",AJ112=""),0,IFERROR(INDEX(#REF!,MATCH(AI112,#REF!,0))*AJ112,0))</f>
        <v>0</v>
      </c>
      <c r="AL112" s="101">
        <f t="shared" si="15"/>
        <v>0</v>
      </c>
      <c r="AM112" s="7"/>
      <c r="AN112" s="72"/>
      <c r="AO112" s="99">
        <f>IF(OR(AM112="",AN112=""),0,IFERROR(INDEX(#REF!,MATCH(AM112,#REF!,0))*AN112,0))</f>
        <v>0</v>
      </c>
      <c r="AP112" s="7"/>
      <c r="AQ112" s="74"/>
      <c r="AR112" s="99">
        <f>IF(OR(AP112="",AQ112=""),0,IFERROR(INDEX(#REF!,MATCH(AP112,#REF!,0))*AQ112,0))</f>
        <v>0</v>
      </c>
      <c r="AS112" s="7"/>
      <c r="AT112" s="74"/>
      <c r="AU112" s="99">
        <f>IF(OR(AS112="",AT112=""),0,IFERROR(INDEX(#REF!,MATCH(AS112,#REF!,0))*AT112,0))</f>
        <v>0</v>
      </c>
      <c r="AV112" s="7"/>
      <c r="AW112" s="74"/>
      <c r="AX112" s="99">
        <f>IF(OR(AV112="",AW112=""),0,IFERROR(INDEX(#REF!,MATCH(AV112,#REF!,0))*AW112,0))</f>
        <v>0</v>
      </c>
      <c r="AY112" s="7"/>
      <c r="AZ112" s="77"/>
      <c r="BA112" s="99">
        <f>IF(OR(AY112="",AZ112=""),0,IFERROR(INDEX(#REF!,MATCH(AY112,#REF!,0))*AZ112,0))</f>
        <v>0</v>
      </c>
      <c r="BB112" s="100">
        <f t="shared" si="16"/>
        <v>0</v>
      </c>
      <c r="BC112" s="110" t="str">
        <f t="shared" si="17"/>
        <v/>
      </c>
      <c r="BD112" s="62"/>
    </row>
    <row r="113" spans="1:56" ht="19.5" customHeight="1" x14ac:dyDescent="0.45">
      <c r="A113" s="104" t="str">
        <f t="shared" si="18"/>
        <v/>
      </c>
      <c r="B113" s="5"/>
      <c r="C113" s="109"/>
      <c r="D113" s="107"/>
      <c r="E113" s="6"/>
      <c r="F113" s="85"/>
      <c r="G113" s="85"/>
      <c r="H113" s="104" t="str">
        <f t="shared" si="10"/>
        <v/>
      </c>
      <c r="I113" s="103" t="str">
        <f>IFERROR(INDEX(#REF!,MATCH(E113,#REF!,0)),"")</f>
        <v/>
      </c>
      <c r="J113" s="6"/>
      <c r="K113" s="103" t="str">
        <f t="shared" si="11"/>
        <v/>
      </c>
      <c r="L113" s="8"/>
      <c r="M113" s="102" t="str">
        <f t="shared" si="12"/>
        <v/>
      </c>
      <c r="N113" s="9"/>
      <c r="O113" s="103" t="str">
        <f t="shared" si="13"/>
        <v/>
      </c>
      <c r="P113" s="6"/>
      <c r="Q113" s="7"/>
      <c r="R113" s="10"/>
      <c r="S113" s="29" t="str">
        <f t="shared" ca="1" si="14"/>
        <v/>
      </c>
      <c r="T113" s="7"/>
      <c r="U113" s="74"/>
      <c r="V113" s="101">
        <f>IF(OR(T113="",U113=""),0,IFERROR(INDEX(#REF!,MATCH(T113,#REF!,0))*U113,0))</f>
        <v>0</v>
      </c>
      <c r="W113" s="7"/>
      <c r="X113" s="74"/>
      <c r="Y113" s="101">
        <f>IF(OR(W113="",X113=""),0,IFERROR(INDEX(#REF!,MATCH(W113,#REF!,0))*X113,0))</f>
        <v>0</v>
      </c>
      <c r="Z113" s="7"/>
      <c r="AA113" s="74"/>
      <c r="AB113" s="101">
        <f>IF(OR(Z113="",AA113=""),0,IFERROR(INDEX(#REF!,MATCH(Z113,#REF!,0))*AA113,0))</f>
        <v>0</v>
      </c>
      <c r="AC113" s="7"/>
      <c r="AD113" s="74"/>
      <c r="AE113" s="101">
        <f>IF(OR(AC113="",AD113=""),0,IFERROR(INDEX(#REF!,MATCH(AC113,#REF!,0))*AD113,0))</f>
        <v>0</v>
      </c>
      <c r="AF113" s="7"/>
      <c r="AG113" s="74"/>
      <c r="AH113" s="101">
        <f>IF(OR(AF113="",AG113=""),0,IFERROR(INDEX(#REF!,MATCH(AF113,#REF!,0))*AG113,0))</f>
        <v>0</v>
      </c>
      <c r="AI113" s="7"/>
      <c r="AJ113" s="74"/>
      <c r="AK113" s="101">
        <f>IF(OR(AI113="",AJ113=""),0,IFERROR(INDEX(#REF!,MATCH(AI113,#REF!,0))*AJ113,0))</f>
        <v>0</v>
      </c>
      <c r="AL113" s="101">
        <f t="shared" si="15"/>
        <v>0</v>
      </c>
      <c r="AM113" s="7"/>
      <c r="AN113" s="72"/>
      <c r="AO113" s="99">
        <f>IF(OR(AM113="",AN113=""),0,IFERROR(INDEX(#REF!,MATCH(AM113,#REF!,0))*AN113,0))</f>
        <v>0</v>
      </c>
      <c r="AP113" s="7"/>
      <c r="AQ113" s="74"/>
      <c r="AR113" s="99">
        <f>IF(OR(AP113="",AQ113=""),0,IFERROR(INDEX(#REF!,MATCH(AP113,#REF!,0))*AQ113,0))</f>
        <v>0</v>
      </c>
      <c r="AS113" s="7"/>
      <c r="AT113" s="74"/>
      <c r="AU113" s="99">
        <f>IF(OR(AS113="",AT113=""),0,IFERROR(INDEX(#REF!,MATCH(AS113,#REF!,0))*AT113,0))</f>
        <v>0</v>
      </c>
      <c r="AV113" s="7"/>
      <c r="AW113" s="74"/>
      <c r="AX113" s="99">
        <f>IF(OR(AV113="",AW113=""),0,IFERROR(INDEX(#REF!,MATCH(AV113,#REF!,0))*AW113,0))</f>
        <v>0</v>
      </c>
      <c r="AY113" s="7"/>
      <c r="AZ113" s="77"/>
      <c r="BA113" s="99">
        <f>IF(OR(AY113="",AZ113=""),0,IFERROR(INDEX(#REF!,MATCH(AY113,#REF!,0))*AZ113,0))</f>
        <v>0</v>
      </c>
      <c r="BB113" s="100">
        <f t="shared" si="16"/>
        <v>0</v>
      </c>
      <c r="BC113" s="110" t="str">
        <f t="shared" si="17"/>
        <v/>
      </c>
      <c r="BD113" s="62"/>
    </row>
    <row r="114" spans="1:56" ht="19.5" customHeight="1" x14ac:dyDescent="0.45">
      <c r="A114" s="104" t="str">
        <f t="shared" si="18"/>
        <v/>
      </c>
      <c r="B114" s="5"/>
      <c r="C114" s="109"/>
      <c r="D114" s="107"/>
      <c r="E114" s="6"/>
      <c r="F114" s="85"/>
      <c r="G114" s="85"/>
      <c r="H114" s="104" t="str">
        <f t="shared" si="10"/>
        <v/>
      </c>
      <c r="I114" s="103" t="str">
        <f>IFERROR(INDEX(#REF!,MATCH(E114,#REF!,0)),"")</f>
        <v/>
      </c>
      <c r="J114" s="6"/>
      <c r="K114" s="103" t="str">
        <f t="shared" si="11"/>
        <v/>
      </c>
      <c r="L114" s="8"/>
      <c r="M114" s="102" t="str">
        <f t="shared" si="12"/>
        <v/>
      </c>
      <c r="N114" s="9"/>
      <c r="O114" s="103" t="str">
        <f t="shared" si="13"/>
        <v/>
      </c>
      <c r="P114" s="6"/>
      <c r="Q114" s="7"/>
      <c r="R114" s="10"/>
      <c r="S114" s="29" t="str">
        <f t="shared" ca="1" si="14"/>
        <v/>
      </c>
      <c r="T114" s="7"/>
      <c r="U114" s="74"/>
      <c r="V114" s="101">
        <f>IF(OR(T114="",U114=""),0,IFERROR(INDEX(#REF!,MATCH(T114,#REF!,0))*U114,0))</f>
        <v>0</v>
      </c>
      <c r="W114" s="7"/>
      <c r="X114" s="74"/>
      <c r="Y114" s="101">
        <f>IF(OR(W114="",X114=""),0,IFERROR(INDEX(#REF!,MATCH(W114,#REF!,0))*X114,0))</f>
        <v>0</v>
      </c>
      <c r="Z114" s="7"/>
      <c r="AA114" s="74"/>
      <c r="AB114" s="101">
        <f>IF(OR(Z114="",AA114=""),0,IFERROR(INDEX(#REF!,MATCH(Z114,#REF!,0))*AA114,0))</f>
        <v>0</v>
      </c>
      <c r="AC114" s="7"/>
      <c r="AD114" s="74"/>
      <c r="AE114" s="101">
        <f>IF(OR(AC114="",AD114=""),0,IFERROR(INDEX(#REF!,MATCH(AC114,#REF!,0))*AD114,0))</f>
        <v>0</v>
      </c>
      <c r="AF114" s="7"/>
      <c r="AG114" s="74"/>
      <c r="AH114" s="101">
        <f>IF(OR(AF114="",AG114=""),0,IFERROR(INDEX(#REF!,MATCH(AF114,#REF!,0))*AG114,0))</f>
        <v>0</v>
      </c>
      <c r="AI114" s="7"/>
      <c r="AJ114" s="74"/>
      <c r="AK114" s="101">
        <f>IF(OR(AI114="",AJ114=""),0,IFERROR(INDEX(#REF!,MATCH(AI114,#REF!,0))*AJ114,0))</f>
        <v>0</v>
      </c>
      <c r="AL114" s="101">
        <f t="shared" si="15"/>
        <v>0</v>
      </c>
      <c r="AM114" s="7"/>
      <c r="AN114" s="72"/>
      <c r="AO114" s="99">
        <f>IF(OR(AM114="",AN114=""),0,IFERROR(INDEX(#REF!,MATCH(AM114,#REF!,0))*AN114,0))</f>
        <v>0</v>
      </c>
      <c r="AP114" s="7"/>
      <c r="AQ114" s="74"/>
      <c r="AR114" s="99">
        <f>IF(OR(AP114="",AQ114=""),0,IFERROR(INDEX(#REF!,MATCH(AP114,#REF!,0))*AQ114,0))</f>
        <v>0</v>
      </c>
      <c r="AS114" s="7"/>
      <c r="AT114" s="74"/>
      <c r="AU114" s="99">
        <f>IF(OR(AS114="",AT114=""),0,IFERROR(INDEX(#REF!,MATCH(AS114,#REF!,0))*AT114,0))</f>
        <v>0</v>
      </c>
      <c r="AV114" s="7"/>
      <c r="AW114" s="74"/>
      <c r="AX114" s="99">
        <f>IF(OR(AV114="",AW114=""),0,IFERROR(INDEX(#REF!,MATCH(AV114,#REF!,0))*AW114,0))</f>
        <v>0</v>
      </c>
      <c r="AY114" s="7"/>
      <c r="AZ114" s="77"/>
      <c r="BA114" s="99">
        <f>IF(OR(AY114="",AZ114=""),0,IFERROR(INDEX(#REF!,MATCH(AY114,#REF!,0))*AZ114,0))</f>
        <v>0</v>
      </c>
      <c r="BB114" s="100">
        <f t="shared" si="16"/>
        <v>0</v>
      </c>
      <c r="BC114" s="110" t="str">
        <f t="shared" si="17"/>
        <v/>
      </c>
      <c r="BD114" s="62"/>
    </row>
    <row r="115" spans="1:56" ht="19.5" customHeight="1" x14ac:dyDescent="0.45">
      <c r="A115" s="104" t="str">
        <f t="shared" si="18"/>
        <v/>
      </c>
      <c r="B115" s="5"/>
      <c r="C115" s="109"/>
      <c r="D115" s="107"/>
      <c r="E115" s="6"/>
      <c r="F115" s="85"/>
      <c r="G115" s="85"/>
      <c r="H115" s="104" t="str">
        <f t="shared" si="10"/>
        <v/>
      </c>
      <c r="I115" s="103" t="str">
        <f>IFERROR(INDEX(#REF!,MATCH(E115,#REF!,0)),"")</f>
        <v/>
      </c>
      <c r="J115" s="6"/>
      <c r="K115" s="103" t="str">
        <f t="shared" si="11"/>
        <v/>
      </c>
      <c r="L115" s="8"/>
      <c r="M115" s="102" t="str">
        <f t="shared" si="12"/>
        <v/>
      </c>
      <c r="N115" s="9"/>
      <c r="O115" s="103" t="str">
        <f t="shared" si="13"/>
        <v/>
      </c>
      <c r="P115" s="6"/>
      <c r="Q115" s="7"/>
      <c r="R115" s="10"/>
      <c r="S115" s="29" t="str">
        <f t="shared" ca="1" si="14"/>
        <v/>
      </c>
      <c r="T115" s="7"/>
      <c r="U115" s="74"/>
      <c r="V115" s="101">
        <f>IF(OR(T115="",U115=""),0,IFERROR(INDEX(#REF!,MATCH(T115,#REF!,0))*U115,0))</f>
        <v>0</v>
      </c>
      <c r="W115" s="7"/>
      <c r="X115" s="74"/>
      <c r="Y115" s="101">
        <f>IF(OR(W115="",X115=""),0,IFERROR(INDEX(#REF!,MATCH(W115,#REF!,0))*X115,0))</f>
        <v>0</v>
      </c>
      <c r="Z115" s="7"/>
      <c r="AA115" s="74"/>
      <c r="AB115" s="101">
        <f>IF(OR(Z115="",AA115=""),0,IFERROR(INDEX(#REF!,MATCH(Z115,#REF!,0))*AA115,0))</f>
        <v>0</v>
      </c>
      <c r="AC115" s="7"/>
      <c r="AD115" s="74"/>
      <c r="AE115" s="101">
        <f>IF(OR(AC115="",AD115=""),0,IFERROR(INDEX(#REF!,MATCH(AC115,#REF!,0))*AD115,0))</f>
        <v>0</v>
      </c>
      <c r="AF115" s="7"/>
      <c r="AG115" s="74"/>
      <c r="AH115" s="101">
        <f>IF(OR(AF115="",AG115=""),0,IFERROR(INDEX(#REF!,MATCH(AF115,#REF!,0))*AG115,0))</f>
        <v>0</v>
      </c>
      <c r="AI115" s="7"/>
      <c r="AJ115" s="74"/>
      <c r="AK115" s="101">
        <f>IF(OR(AI115="",AJ115=""),0,IFERROR(INDEX(#REF!,MATCH(AI115,#REF!,0))*AJ115,0))</f>
        <v>0</v>
      </c>
      <c r="AL115" s="101">
        <f t="shared" si="15"/>
        <v>0</v>
      </c>
      <c r="AM115" s="7"/>
      <c r="AN115" s="72"/>
      <c r="AO115" s="99">
        <f>IF(OR(AM115="",AN115=""),0,IFERROR(INDEX(#REF!,MATCH(AM115,#REF!,0))*AN115,0))</f>
        <v>0</v>
      </c>
      <c r="AP115" s="7"/>
      <c r="AQ115" s="74"/>
      <c r="AR115" s="99">
        <f>IF(OR(AP115="",AQ115=""),0,IFERROR(INDEX(#REF!,MATCH(AP115,#REF!,0))*AQ115,0))</f>
        <v>0</v>
      </c>
      <c r="AS115" s="7"/>
      <c r="AT115" s="74"/>
      <c r="AU115" s="99">
        <f>IF(OR(AS115="",AT115=""),0,IFERROR(INDEX(#REF!,MATCH(AS115,#REF!,0))*AT115,0))</f>
        <v>0</v>
      </c>
      <c r="AV115" s="7"/>
      <c r="AW115" s="74"/>
      <c r="AX115" s="99">
        <f>IF(OR(AV115="",AW115=""),0,IFERROR(INDEX(#REF!,MATCH(AV115,#REF!,0))*AW115,0))</f>
        <v>0</v>
      </c>
      <c r="AY115" s="7"/>
      <c r="AZ115" s="77"/>
      <c r="BA115" s="99">
        <f>IF(OR(AY115="",AZ115=""),0,IFERROR(INDEX(#REF!,MATCH(AY115,#REF!,0))*AZ115,0))</f>
        <v>0</v>
      </c>
      <c r="BB115" s="100">
        <f t="shared" si="16"/>
        <v>0</v>
      </c>
      <c r="BC115" s="110" t="str">
        <f t="shared" si="17"/>
        <v/>
      </c>
      <c r="BD115" s="62"/>
    </row>
    <row r="116" spans="1:56" ht="19.5" customHeight="1" x14ac:dyDescent="0.45">
      <c r="A116" s="104" t="str">
        <f t="shared" si="18"/>
        <v/>
      </c>
      <c r="B116" s="5"/>
      <c r="C116" s="109"/>
      <c r="D116" s="107"/>
      <c r="E116" s="6"/>
      <c r="F116" s="85"/>
      <c r="G116" s="85"/>
      <c r="H116" s="104" t="str">
        <f t="shared" si="10"/>
        <v/>
      </c>
      <c r="I116" s="103" t="str">
        <f>IFERROR(INDEX(#REF!,MATCH(E116,#REF!,0)),"")</f>
        <v/>
      </c>
      <c r="J116" s="6"/>
      <c r="K116" s="103" t="str">
        <f t="shared" si="11"/>
        <v/>
      </c>
      <c r="L116" s="8"/>
      <c r="M116" s="102" t="str">
        <f t="shared" si="12"/>
        <v/>
      </c>
      <c r="N116" s="9"/>
      <c r="O116" s="103" t="str">
        <f t="shared" si="13"/>
        <v/>
      </c>
      <c r="P116" s="6"/>
      <c r="Q116" s="7"/>
      <c r="R116" s="10"/>
      <c r="S116" s="29" t="str">
        <f t="shared" ca="1" si="14"/>
        <v/>
      </c>
      <c r="T116" s="7"/>
      <c r="U116" s="74"/>
      <c r="V116" s="101">
        <f>IF(OR(T116="",U116=""),0,IFERROR(INDEX(#REF!,MATCH(T116,#REF!,0))*U116,0))</f>
        <v>0</v>
      </c>
      <c r="W116" s="7"/>
      <c r="X116" s="74"/>
      <c r="Y116" s="101">
        <f>IF(OR(W116="",X116=""),0,IFERROR(INDEX(#REF!,MATCH(W116,#REF!,0))*X116,0))</f>
        <v>0</v>
      </c>
      <c r="Z116" s="7"/>
      <c r="AA116" s="74"/>
      <c r="AB116" s="101">
        <f>IF(OR(Z116="",AA116=""),0,IFERROR(INDEX(#REF!,MATCH(Z116,#REF!,0))*AA116,0))</f>
        <v>0</v>
      </c>
      <c r="AC116" s="7"/>
      <c r="AD116" s="74"/>
      <c r="AE116" s="101">
        <f>IF(OR(AC116="",AD116=""),0,IFERROR(INDEX(#REF!,MATCH(AC116,#REF!,0))*AD116,0))</f>
        <v>0</v>
      </c>
      <c r="AF116" s="7"/>
      <c r="AG116" s="74"/>
      <c r="AH116" s="101">
        <f>IF(OR(AF116="",AG116=""),0,IFERROR(INDEX(#REF!,MATCH(AF116,#REF!,0))*AG116,0))</f>
        <v>0</v>
      </c>
      <c r="AI116" s="7"/>
      <c r="AJ116" s="74"/>
      <c r="AK116" s="101">
        <f>IF(OR(AI116="",AJ116=""),0,IFERROR(INDEX(#REF!,MATCH(AI116,#REF!,0))*AJ116,0))</f>
        <v>0</v>
      </c>
      <c r="AL116" s="101">
        <f t="shared" si="15"/>
        <v>0</v>
      </c>
      <c r="AM116" s="7"/>
      <c r="AN116" s="72"/>
      <c r="AO116" s="99">
        <f>IF(OR(AM116="",AN116=""),0,IFERROR(INDEX(#REF!,MATCH(AM116,#REF!,0))*AN116,0))</f>
        <v>0</v>
      </c>
      <c r="AP116" s="7"/>
      <c r="AQ116" s="74"/>
      <c r="AR116" s="99">
        <f>IF(OR(AP116="",AQ116=""),0,IFERROR(INDEX(#REF!,MATCH(AP116,#REF!,0))*AQ116,0))</f>
        <v>0</v>
      </c>
      <c r="AS116" s="7"/>
      <c r="AT116" s="74"/>
      <c r="AU116" s="99">
        <f>IF(OR(AS116="",AT116=""),0,IFERROR(INDEX(#REF!,MATCH(AS116,#REF!,0))*AT116,0))</f>
        <v>0</v>
      </c>
      <c r="AV116" s="7"/>
      <c r="AW116" s="74"/>
      <c r="AX116" s="99">
        <f>IF(OR(AV116="",AW116=""),0,IFERROR(INDEX(#REF!,MATCH(AV116,#REF!,0))*AW116,0))</f>
        <v>0</v>
      </c>
      <c r="AY116" s="7"/>
      <c r="AZ116" s="77"/>
      <c r="BA116" s="99">
        <f>IF(OR(AY116="",AZ116=""),0,IFERROR(INDEX(#REF!,MATCH(AY116,#REF!,0))*AZ116,0))</f>
        <v>0</v>
      </c>
      <c r="BB116" s="100">
        <f t="shared" si="16"/>
        <v>0</v>
      </c>
      <c r="BC116" s="110" t="str">
        <f t="shared" si="17"/>
        <v/>
      </c>
      <c r="BD116" s="62"/>
    </row>
    <row r="117" spans="1:56" ht="19.5" customHeight="1" x14ac:dyDescent="0.45">
      <c r="A117" s="104" t="str">
        <f t="shared" si="18"/>
        <v/>
      </c>
      <c r="B117" s="5"/>
      <c r="C117" s="109"/>
      <c r="D117" s="107"/>
      <c r="E117" s="6"/>
      <c r="F117" s="85"/>
      <c r="G117" s="85"/>
      <c r="H117" s="104" t="str">
        <f t="shared" si="10"/>
        <v/>
      </c>
      <c r="I117" s="103" t="str">
        <f>IFERROR(INDEX(#REF!,MATCH(E117,#REF!,0)),"")</f>
        <v/>
      </c>
      <c r="J117" s="6"/>
      <c r="K117" s="103" t="str">
        <f t="shared" si="11"/>
        <v/>
      </c>
      <c r="L117" s="8"/>
      <c r="M117" s="102" t="str">
        <f t="shared" si="12"/>
        <v/>
      </c>
      <c r="N117" s="9"/>
      <c r="O117" s="103" t="str">
        <f t="shared" si="13"/>
        <v/>
      </c>
      <c r="P117" s="6"/>
      <c r="Q117" s="7"/>
      <c r="R117" s="10"/>
      <c r="S117" s="29" t="str">
        <f t="shared" ca="1" si="14"/>
        <v/>
      </c>
      <c r="T117" s="7"/>
      <c r="U117" s="74"/>
      <c r="V117" s="101">
        <f>IF(OR(T117="",U117=""),0,IFERROR(INDEX(#REF!,MATCH(T117,#REF!,0))*U117,0))</f>
        <v>0</v>
      </c>
      <c r="W117" s="7"/>
      <c r="X117" s="74"/>
      <c r="Y117" s="101">
        <f>IF(OR(W117="",X117=""),0,IFERROR(INDEX(#REF!,MATCH(W117,#REF!,0))*X117,0))</f>
        <v>0</v>
      </c>
      <c r="Z117" s="7"/>
      <c r="AA117" s="74"/>
      <c r="AB117" s="101">
        <f>IF(OR(Z117="",AA117=""),0,IFERROR(INDEX(#REF!,MATCH(Z117,#REF!,0))*AA117,0))</f>
        <v>0</v>
      </c>
      <c r="AC117" s="7"/>
      <c r="AD117" s="74"/>
      <c r="AE117" s="101">
        <f>IF(OR(AC117="",AD117=""),0,IFERROR(INDEX(#REF!,MATCH(AC117,#REF!,0))*AD117,0))</f>
        <v>0</v>
      </c>
      <c r="AF117" s="7"/>
      <c r="AG117" s="74"/>
      <c r="AH117" s="101">
        <f>IF(OR(AF117="",AG117=""),0,IFERROR(INDEX(#REF!,MATCH(AF117,#REF!,0))*AG117,0))</f>
        <v>0</v>
      </c>
      <c r="AI117" s="7"/>
      <c r="AJ117" s="74"/>
      <c r="AK117" s="101">
        <f>IF(OR(AI117="",AJ117=""),0,IFERROR(INDEX(#REF!,MATCH(AI117,#REF!,0))*AJ117,0))</f>
        <v>0</v>
      </c>
      <c r="AL117" s="101">
        <f t="shared" si="15"/>
        <v>0</v>
      </c>
      <c r="AM117" s="7"/>
      <c r="AN117" s="72"/>
      <c r="AO117" s="99">
        <f>IF(OR(AM117="",AN117=""),0,IFERROR(INDEX(#REF!,MATCH(AM117,#REF!,0))*AN117,0))</f>
        <v>0</v>
      </c>
      <c r="AP117" s="7"/>
      <c r="AQ117" s="74"/>
      <c r="AR117" s="99">
        <f>IF(OR(AP117="",AQ117=""),0,IFERROR(INDEX(#REF!,MATCH(AP117,#REF!,0))*AQ117,0))</f>
        <v>0</v>
      </c>
      <c r="AS117" s="7"/>
      <c r="AT117" s="74"/>
      <c r="AU117" s="99">
        <f>IF(OR(AS117="",AT117=""),0,IFERROR(INDEX(#REF!,MATCH(AS117,#REF!,0))*AT117,0))</f>
        <v>0</v>
      </c>
      <c r="AV117" s="7"/>
      <c r="AW117" s="74"/>
      <c r="AX117" s="99">
        <f>IF(OR(AV117="",AW117=""),0,IFERROR(INDEX(#REF!,MATCH(AV117,#REF!,0))*AW117,0))</f>
        <v>0</v>
      </c>
      <c r="AY117" s="7"/>
      <c r="AZ117" s="77"/>
      <c r="BA117" s="99">
        <f>IF(OR(AY117="",AZ117=""),0,IFERROR(INDEX(#REF!,MATCH(AY117,#REF!,0))*AZ117,0))</f>
        <v>0</v>
      </c>
      <c r="BB117" s="100">
        <f t="shared" si="16"/>
        <v>0</v>
      </c>
      <c r="BC117" s="110" t="str">
        <f t="shared" si="17"/>
        <v/>
      </c>
      <c r="BD117" s="62"/>
    </row>
    <row r="118" spans="1:56" ht="19.5" customHeight="1" x14ac:dyDescent="0.45">
      <c r="A118" s="104" t="str">
        <f t="shared" si="18"/>
        <v/>
      </c>
      <c r="B118" s="5"/>
      <c r="C118" s="109"/>
      <c r="D118" s="107"/>
      <c r="E118" s="6"/>
      <c r="F118" s="85"/>
      <c r="G118" s="85"/>
      <c r="H118" s="104" t="str">
        <f t="shared" si="10"/>
        <v/>
      </c>
      <c r="I118" s="103" t="str">
        <f>IFERROR(INDEX(#REF!,MATCH(E118,#REF!,0)),"")</f>
        <v/>
      </c>
      <c r="J118" s="6"/>
      <c r="K118" s="103" t="str">
        <f t="shared" si="11"/>
        <v/>
      </c>
      <c r="L118" s="8"/>
      <c r="M118" s="102" t="str">
        <f t="shared" si="12"/>
        <v/>
      </c>
      <c r="N118" s="9"/>
      <c r="O118" s="103" t="str">
        <f t="shared" si="13"/>
        <v/>
      </c>
      <c r="P118" s="6"/>
      <c r="Q118" s="7"/>
      <c r="R118" s="10"/>
      <c r="S118" s="29" t="str">
        <f t="shared" ca="1" si="14"/>
        <v/>
      </c>
      <c r="T118" s="7"/>
      <c r="U118" s="74"/>
      <c r="V118" s="101">
        <f>IF(OR(T118="",U118=""),0,IFERROR(INDEX(#REF!,MATCH(T118,#REF!,0))*U118,0))</f>
        <v>0</v>
      </c>
      <c r="W118" s="7"/>
      <c r="X118" s="74"/>
      <c r="Y118" s="101">
        <f>IF(OR(W118="",X118=""),0,IFERROR(INDEX(#REF!,MATCH(W118,#REF!,0))*X118,0))</f>
        <v>0</v>
      </c>
      <c r="Z118" s="7"/>
      <c r="AA118" s="74"/>
      <c r="AB118" s="101">
        <f>IF(OR(Z118="",AA118=""),0,IFERROR(INDEX(#REF!,MATCH(Z118,#REF!,0))*AA118,0))</f>
        <v>0</v>
      </c>
      <c r="AC118" s="7"/>
      <c r="AD118" s="74"/>
      <c r="AE118" s="101">
        <f>IF(OR(AC118="",AD118=""),0,IFERROR(INDEX(#REF!,MATCH(AC118,#REF!,0))*AD118,0))</f>
        <v>0</v>
      </c>
      <c r="AF118" s="7"/>
      <c r="AG118" s="74"/>
      <c r="AH118" s="101">
        <f>IF(OR(AF118="",AG118=""),0,IFERROR(INDEX(#REF!,MATCH(AF118,#REF!,0))*AG118,0))</f>
        <v>0</v>
      </c>
      <c r="AI118" s="7"/>
      <c r="AJ118" s="74"/>
      <c r="AK118" s="101">
        <f>IF(OR(AI118="",AJ118=""),0,IFERROR(INDEX(#REF!,MATCH(AI118,#REF!,0))*AJ118,0))</f>
        <v>0</v>
      </c>
      <c r="AL118" s="101">
        <f t="shared" si="15"/>
        <v>0</v>
      </c>
      <c r="AM118" s="7"/>
      <c r="AN118" s="72"/>
      <c r="AO118" s="99">
        <f>IF(OR(AM118="",AN118=""),0,IFERROR(INDEX(#REF!,MATCH(AM118,#REF!,0))*AN118,0))</f>
        <v>0</v>
      </c>
      <c r="AP118" s="7"/>
      <c r="AQ118" s="74"/>
      <c r="AR118" s="99">
        <f>IF(OR(AP118="",AQ118=""),0,IFERROR(INDEX(#REF!,MATCH(AP118,#REF!,0))*AQ118,0))</f>
        <v>0</v>
      </c>
      <c r="AS118" s="7"/>
      <c r="AT118" s="74"/>
      <c r="AU118" s="99">
        <f>IF(OR(AS118="",AT118=""),0,IFERROR(INDEX(#REF!,MATCH(AS118,#REF!,0))*AT118,0))</f>
        <v>0</v>
      </c>
      <c r="AV118" s="7"/>
      <c r="AW118" s="74"/>
      <c r="AX118" s="99">
        <f>IF(OR(AV118="",AW118=""),0,IFERROR(INDEX(#REF!,MATCH(AV118,#REF!,0))*AW118,0))</f>
        <v>0</v>
      </c>
      <c r="AY118" s="7"/>
      <c r="AZ118" s="77"/>
      <c r="BA118" s="99">
        <f>IF(OR(AY118="",AZ118=""),0,IFERROR(INDEX(#REF!,MATCH(AY118,#REF!,0))*AZ118,0))</f>
        <v>0</v>
      </c>
      <c r="BB118" s="100">
        <f t="shared" si="16"/>
        <v>0</v>
      </c>
      <c r="BC118" s="110" t="str">
        <f t="shared" si="17"/>
        <v/>
      </c>
      <c r="BD118" s="62"/>
    </row>
    <row r="119" spans="1:56" ht="19.5" customHeight="1" x14ac:dyDescent="0.45">
      <c r="A119" s="104" t="str">
        <f t="shared" si="18"/>
        <v/>
      </c>
      <c r="B119" s="5"/>
      <c r="C119" s="109"/>
      <c r="D119" s="107"/>
      <c r="E119" s="6"/>
      <c r="F119" s="85"/>
      <c r="G119" s="85"/>
      <c r="H119" s="104" t="str">
        <f t="shared" si="10"/>
        <v/>
      </c>
      <c r="I119" s="103" t="str">
        <f>IFERROR(INDEX(#REF!,MATCH(E119,#REF!,0)),"")</f>
        <v/>
      </c>
      <c r="J119" s="6"/>
      <c r="K119" s="103" t="str">
        <f t="shared" si="11"/>
        <v/>
      </c>
      <c r="L119" s="8"/>
      <c r="M119" s="102" t="str">
        <f t="shared" si="12"/>
        <v/>
      </c>
      <c r="N119" s="9"/>
      <c r="O119" s="103" t="str">
        <f t="shared" si="13"/>
        <v/>
      </c>
      <c r="P119" s="6"/>
      <c r="Q119" s="7"/>
      <c r="R119" s="10"/>
      <c r="S119" s="29" t="str">
        <f t="shared" ca="1" si="14"/>
        <v/>
      </c>
      <c r="T119" s="7"/>
      <c r="U119" s="74"/>
      <c r="V119" s="101">
        <f>IF(OR(T119="",U119=""),0,IFERROR(INDEX(#REF!,MATCH(T119,#REF!,0))*U119,0))</f>
        <v>0</v>
      </c>
      <c r="W119" s="7"/>
      <c r="X119" s="74"/>
      <c r="Y119" s="101">
        <f>IF(OR(W119="",X119=""),0,IFERROR(INDEX(#REF!,MATCH(W119,#REF!,0))*X119,0))</f>
        <v>0</v>
      </c>
      <c r="Z119" s="7"/>
      <c r="AA119" s="74"/>
      <c r="AB119" s="101">
        <f>IF(OR(Z119="",AA119=""),0,IFERROR(INDEX(#REF!,MATCH(Z119,#REF!,0))*AA119,0))</f>
        <v>0</v>
      </c>
      <c r="AC119" s="7"/>
      <c r="AD119" s="74"/>
      <c r="AE119" s="101">
        <f>IF(OR(AC119="",AD119=""),0,IFERROR(INDEX(#REF!,MATCH(AC119,#REF!,0))*AD119,0))</f>
        <v>0</v>
      </c>
      <c r="AF119" s="7"/>
      <c r="AG119" s="74"/>
      <c r="AH119" s="101">
        <f>IF(OR(AF119="",AG119=""),0,IFERROR(INDEX(#REF!,MATCH(AF119,#REF!,0))*AG119,0))</f>
        <v>0</v>
      </c>
      <c r="AI119" s="7"/>
      <c r="AJ119" s="74"/>
      <c r="AK119" s="101">
        <f>IF(OR(AI119="",AJ119=""),0,IFERROR(INDEX(#REF!,MATCH(AI119,#REF!,0))*AJ119,0))</f>
        <v>0</v>
      </c>
      <c r="AL119" s="101">
        <f t="shared" si="15"/>
        <v>0</v>
      </c>
      <c r="AM119" s="7"/>
      <c r="AN119" s="72"/>
      <c r="AO119" s="99">
        <f>IF(OR(AM119="",AN119=""),0,IFERROR(INDEX(#REF!,MATCH(AM119,#REF!,0))*AN119,0))</f>
        <v>0</v>
      </c>
      <c r="AP119" s="7"/>
      <c r="AQ119" s="74"/>
      <c r="AR119" s="99">
        <f>IF(OR(AP119="",AQ119=""),0,IFERROR(INDEX(#REF!,MATCH(AP119,#REF!,0))*AQ119,0))</f>
        <v>0</v>
      </c>
      <c r="AS119" s="7"/>
      <c r="AT119" s="74"/>
      <c r="AU119" s="99">
        <f>IF(OR(AS119="",AT119=""),0,IFERROR(INDEX(#REF!,MATCH(AS119,#REF!,0))*AT119,0))</f>
        <v>0</v>
      </c>
      <c r="AV119" s="7"/>
      <c r="AW119" s="74"/>
      <c r="AX119" s="99">
        <f>IF(OR(AV119="",AW119=""),0,IFERROR(INDEX(#REF!,MATCH(AV119,#REF!,0))*AW119,0))</f>
        <v>0</v>
      </c>
      <c r="AY119" s="7"/>
      <c r="AZ119" s="77"/>
      <c r="BA119" s="99">
        <f>IF(OR(AY119="",AZ119=""),0,IFERROR(INDEX(#REF!,MATCH(AY119,#REF!,0))*AZ119,0))</f>
        <v>0</v>
      </c>
      <c r="BB119" s="100">
        <f t="shared" si="16"/>
        <v>0</v>
      </c>
      <c r="BC119" s="110" t="str">
        <f t="shared" si="17"/>
        <v/>
      </c>
      <c r="BD119" s="62"/>
    </row>
    <row r="120" spans="1:56" ht="19.5" customHeight="1" x14ac:dyDescent="0.45">
      <c r="A120" s="104" t="str">
        <f t="shared" si="18"/>
        <v/>
      </c>
      <c r="B120" s="5"/>
      <c r="C120" s="109"/>
      <c r="D120" s="107"/>
      <c r="E120" s="6"/>
      <c r="F120" s="85"/>
      <c r="G120" s="85"/>
      <c r="H120" s="104" t="str">
        <f t="shared" si="10"/>
        <v/>
      </c>
      <c r="I120" s="103" t="str">
        <f>IFERROR(INDEX(#REF!,MATCH(E120,#REF!,0)),"")</f>
        <v/>
      </c>
      <c r="J120" s="6"/>
      <c r="K120" s="103" t="str">
        <f t="shared" si="11"/>
        <v/>
      </c>
      <c r="L120" s="8"/>
      <c r="M120" s="102" t="str">
        <f t="shared" si="12"/>
        <v/>
      </c>
      <c r="N120" s="9"/>
      <c r="O120" s="103" t="str">
        <f t="shared" si="13"/>
        <v/>
      </c>
      <c r="P120" s="6"/>
      <c r="Q120" s="7"/>
      <c r="R120" s="10"/>
      <c r="S120" s="29" t="str">
        <f t="shared" ca="1" si="14"/>
        <v/>
      </c>
      <c r="T120" s="7"/>
      <c r="U120" s="74"/>
      <c r="V120" s="101">
        <f>IF(OR(T120="",U120=""),0,IFERROR(INDEX(#REF!,MATCH(T120,#REF!,0))*U120,0))</f>
        <v>0</v>
      </c>
      <c r="W120" s="7"/>
      <c r="X120" s="74"/>
      <c r="Y120" s="101">
        <f>IF(OR(W120="",X120=""),0,IFERROR(INDEX(#REF!,MATCH(W120,#REF!,0))*X120,0))</f>
        <v>0</v>
      </c>
      <c r="Z120" s="7"/>
      <c r="AA120" s="74"/>
      <c r="AB120" s="101">
        <f>IF(OR(Z120="",AA120=""),0,IFERROR(INDEX(#REF!,MATCH(Z120,#REF!,0))*AA120,0))</f>
        <v>0</v>
      </c>
      <c r="AC120" s="7"/>
      <c r="AD120" s="74"/>
      <c r="AE120" s="101">
        <f>IF(OR(AC120="",AD120=""),0,IFERROR(INDEX(#REF!,MATCH(AC120,#REF!,0))*AD120,0))</f>
        <v>0</v>
      </c>
      <c r="AF120" s="7"/>
      <c r="AG120" s="74"/>
      <c r="AH120" s="101">
        <f>IF(OR(AF120="",AG120=""),0,IFERROR(INDEX(#REF!,MATCH(AF120,#REF!,0))*AG120,0))</f>
        <v>0</v>
      </c>
      <c r="AI120" s="7"/>
      <c r="AJ120" s="74"/>
      <c r="AK120" s="101">
        <f>IF(OR(AI120="",AJ120=""),0,IFERROR(INDEX(#REF!,MATCH(AI120,#REF!,0))*AJ120,0))</f>
        <v>0</v>
      </c>
      <c r="AL120" s="101">
        <f t="shared" si="15"/>
        <v>0</v>
      </c>
      <c r="AM120" s="7"/>
      <c r="AN120" s="72"/>
      <c r="AO120" s="99">
        <f>IF(OR(AM120="",AN120=""),0,IFERROR(INDEX(#REF!,MATCH(AM120,#REF!,0))*AN120,0))</f>
        <v>0</v>
      </c>
      <c r="AP120" s="7"/>
      <c r="AQ120" s="74"/>
      <c r="AR120" s="99">
        <f>IF(OR(AP120="",AQ120=""),0,IFERROR(INDEX(#REF!,MATCH(AP120,#REF!,0))*AQ120,0))</f>
        <v>0</v>
      </c>
      <c r="AS120" s="7"/>
      <c r="AT120" s="74"/>
      <c r="AU120" s="99">
        <f>IF(OR(AS120="",AT120=""),0,IFERROR(INDEX(#REF!,MATCH(AS120,#REF!,0))*AT120,0))</f>
        <v>0</v>
      </c>
      <c r="AV120" s="7"/>
      <c r="AW120" s="74"/>
      <c r="AX120" s="99">
        <f>IF(OR(AV120="",AW120=""),0,IFERROR(INDEX(#REF!,MATCH(AV120,#REF!,0))*AW120,0))</f>
        <v>0</v>
      </c>
      <c r="AY120" s="7"/>
      <c r="AZ120" s="77"/>
      <c r="BA120" s="99">
        <f>IF(OR(AY120="",AZ120=""),0,IFERROR(INDEX(#REF!,MATCH(AY120,#REF!,0))*AZ120,0))</f>
        <v>0</v>
      </c>
      <c r="BB120" s="100">
        <f t="shared" si="16"/>
        <v>0</v>
      </c>
      <c r="BC120" s="110" t="str">
        <f t="shared" si="17"/>
        <v/>
      </c>
      <c r="BD120" s="62"/>
    </row>
    <row r="121" spans="1:56" ht="19.5" customHeight="1" x14ac:dyDescent="0.45">
      <c r="A121" s="104" t="str">
        <f t="shared" si="18"/>
        <v/>
      </c>
      <c r="B121" s="5"/>
      <c r="C121" s="109"/>
      <c r="D121" s="107"/>
      <c r="E121" s="6"/>
      <c r="F121" s="85"/>
      <c r="G121" s="85"/>
      <c r="H121" s="104" t="str">
        <f t="shared" si="10"/>
        <v/>
      </c>
      <c r="I121" s="103" t="str">
        <f>IFERROR(INDEX(#REF!,MATCH(E121,#REF!,0)),"")</f>
        <v/>
      </c>
      <c r="J121" s="6"/>
      <c r="K121" s="103" t="str">
        <f t="shared" si="11"/>
        <v/>
      </c>
      <c r="L121" s="8"/>
      <c r="M121" s="102" t="str">
        <f t="shared" si="12"/>
        <v/>
      </c>
      <c r="N121" s="9"/>
      <c r="O121" s="103" t="str">
        <f t="shared" si="13"/>
        <v/>
      </c>
      <c r="P121" s="6"/>
      <c r="Q121" s="7"/>
      <c r="R121" s="10"/>
      <c r="S121" s="29" t="str">
        <f t="shared" ca="1" si="14"/>
        <v/>
      </c>
      <c r="T121" s="7"/>
      <c r="U121" s="74"/>
      <c r="V121" s="101">
        <f>IF(OR(T121="",U121=""),0,IFERROR(INDEX(#REF!,MATCH(T121,#REF!,0))*U121,0))</f>
        <v>0</v>
      </c>
      <c r="W121" s="7"/>
      <c r="X121" s="74"/>
      <c r="Y121" s="101">
        <f>IF(OR(W121="",X121=""),0,IFERROR(INDEX(#REF!,MATCH(W121,#REF!,0))*X121,0))</f>
        <v>0</v>
      </c>
      <c r="Z121" s="7"/>
      <c r="AA121" s="74"/>
      <c r="AB121" s="101">
        <f>IF(OR(Z121="",AA121=""),0,IFERROR(INDEX(#REF!,MATCH(Z121,#REF!,0))*AA121,0))</f>
        <v>0</v>
      </c>
      <c r="AC121" s="7"/>
      <c r="AD121" s="74"/>
      <c r="AE121" s="101">
        <f>IF(OR(AC121="",AD121=""),0,IFERROR(INDEX(#REF!,MATCH(AC121,#REF!,0))*AD121,0))</f>
        <v>0</v>
      </c>
      <c r="AF121" s="7"/>
      <c r="AG121" s="74"/>
      <c r="AH121" s="101">
        <f>IF(OR(AF121="",AG121=""),0,IFERROR(INDEX(#REF!,MATCH(AF121,#REF!,0))*AG121,0))</f>
        <v>0</v>
      </c>
      <c r="AI121" s="7"/>
      <c r="AJ121" s="74"/>
      <c r="AK121" s="101">
        <f>IF(OR(AI121="",AJ121=""),0,IFERROR(INDEX(#REF!,MATCH(AI121,#REF!,0))*AJ121,0))</f>
        <v>0</v>
      </c>
      <c r="AL121" s="101">
        <f t="shared" si="15"/>
        <v>0</v>
      </c>
      <c r="AM121" s="7"/>
      <c r="AN121" s="72"/>
      <c r="AO121" s="99">
        <f>IF(OR(AM121="",AN121=""),0,IFERROR(INDEX(#REF!,MATCH(AM121,#REF!,0))*AN121,0))</f>
        <v>0</v>
      </c>
      <c r="AP121" s="7"/>
      <c r="AQ121" s="74"/>
      <c r="AR121" s="99">
        <f>IF(OR(AP121="",AQ121=""),0,IFERROR(INDEX(#REF!,MATCH(AP121,#REF!,0))*AQ121,0))</f>
        <v>0</v>
      </c>
      <c r="AS121" s="7"/>
      <c r="AT121" s="74"/>
      <c r="AU121" s="99">
        <f>IF(OR(AS121="",AT121=""),0,IFERROR(INDEX(#REF!,MATCH(AS121,#REF!,0))*AT121,0))</f>
        <v>0</v>
      </c>
      <c r="AV121" s="7"/>
      <c r="AW121" s="74"/>
      <c r="AX121" s="99">
        <f>IF(OR(AV121="",AW121=""),0,IFERROR(INDEX(#REF!,MATCH(AV121,#REF!,0))*AW121,0))</f>
        <v>0</v>
      </c>
      <c r="AY121" s="7"/>
      <c r="AZ121" s="77"/>
      <c r="BA121" s="99">
        <f>IF(OR(AY121="",AZ121=""),0,IFERROR(INDEX(#REF!,MATCH(AY121,#REF!,0))*AZ121,0))</f>
        <v>0</v>
      </c>
      <c r="BB121" s="100">
        <f t="shared" si="16"/>
        <v>0</v>
      </c>
      <c r="BC121" s="110" t="str">
        <f t="shared" si="17"/>
        <v/>
      </c>
      <c r="BD121" s="62"/>
    </row>
    <row r="122" spans="1:56" ht="19.5" customHeight="1" x14ac:dyDescent="0.45">
      <c r="A122" s="104" t="str">
        <f t="shared" si="18"/>
        <v/>
      </c>
      <c r="B122" s="5"/>
      <c r="C122" s="109"/>
      <c r="D122" s="107"/>
      <c r="E122" s="6"/>
      <c r="F122" s="85"/>
      <c r="G122" s="85"/>
      <c r="H122" s="104" t="str">
        <f t="shared" si="10"/>
        <v/>
      </c>
      <c r="I122" s="103" t="str">
        <f>IFERROR(INDEX(#REF!,MATCH(E122,#REF!,0)),"")</f>
        <v/>
      </c>
      <c r="J122" s="6"/>
      <c r="K122" s="103" t="str">
        <f t="shared" si="11"/>
        <v/>
      </c>
      <c r="L122" s="8"/>
      <c r="M122" s="102" t="str">
        <f t="shared" si="12"/>
        <v/>
      </c>
      <c r="N122" s="9"/>
      <c r="O122" s="103" t="str">
        <f t="shared" si="13"/>
        <v/>
      </c>
      <c r="P122" s="6"/>
      <c r="Q122" s="7"/>
      <c r="R122" s="10"/>
      <c r="S122" s="29" t="str">
        <f t="shared" ca="1" si="14"/>
        <v/>
      </c>
      <c r="T122" s="7"/>
      <c r="U122" s="74"/>
      <c r="V122" s="101">
        <f>IF(OR(T122="",U122=""),0,IFERROR(INDEX(#REF!,MATCH(T122,#REF!,0))*U122,0))</f>
        <v>0</v>
      </c>
      <c r="W122" s="7"/>
      <c r="X122" s="74"/>
      <c r="Y122" s="101">
        <f>IF(OR(W122="",X122=""),0,IFERROR(INDEX(#REF!,MATCH(W122,#REF!,0))*X122,0))</f>
        <v>0</v>
      </c>
      <c r="Z122" s="7"/>
      <c r="AA122" s="74"/>
      <c r="AB122" s="101">
        <f>IF(OR(Z122="",AA122=""),0,IFERROR(INDEX(#REF!,MATCH(Z122,#REF!,0))*AA122,0))</f>
        <v>0</v>
      </c>
      <c r="AC122" s="7"/>
      <c r="AD122" s="74"/>
      <c r="AE122" s="101">
        <f>IF(OR(AC122="",AD122=""),0,IFERROR(INDEX(#REF!,MATCH(AC122,#REF!,0))*AD122,0))</f>
        <v>0</v>
      </c>
      <c r="AF122" s="7"/>
      <c r="AG122" s="74"/>
      <c r="AH122" s="101">
        <f>IF(OR(AF122="",AG122=""),0,IFERROR(INDEX(#REF!,MATCH(AF122,#REF!,0))*AG122,0))</f>
        <v>0</v>
      </c>
      <c r="AI122" s="7"/>
      <c r="AJ122" s="74"/>
      <c r="AK122" s="101">
        <f>IF(OR(AI122="",AJ122=""),0,IFERROR(INDEX(#REF!,MATCH(AI122,#REF!,0))*AJ122,0))</f>
        <v>0</v>
      </c>
      <c r="AL122" s="101">
        <f t="shared" si="15"/>
        <v>0</v>
      </c>
      <c r="AM122" s="7"/>
      <c r="AN122" s="72"/>
      <c r="AO122" s="99">
        <f>IF(OR(AM122="",AN122=""),0,IFERROR(INDEX(#REF!,MATCH(AM122,#REF!,0))*AN122,0))</f>
        <v>0</v>
      </c>
      <c r="AP122" s="7"/>
      <c r="AQ122" s="74"/>
      <c r="AR122" s="99">
        <f>IF(OR(AP122="",AQ122=""),0,IFERROR(INDEX(#REF!,MATCH(AP122,#REF!,0))*AQ122,0))</f>
        <v>0</v>
      </c>
      <c r="AS122" s="7"/>
      <c r="AT122" s="74"/>
      <c r="AU122" s="99">
        <f>IF(OR(AS122="",AT122=""),0,IFERROR(INDEX(#REF!,MATCH(AS122,#REF!,0))*AT122,0))</f>
        <v>0</v>
      </c>
      <c r="AV122" s="7"/>
      <c r="AW122" s="74"/>
      <c r="AX122" s="99">
        <f>IF(OR(AV122="",AW122=""),0,IFERROR(INDEX(#REF!,MATCH(AV122,#REF!,0))*AW122,0))</f>
        <v>0</v>
      </c>
      <c r="AY122" s="7"/>
      <c r="AZ122" s="77"/>
      <c r="BA122" s="99">
        <f>IF(OR(AY122="",AZ122=""),0,IFERROR(INDEX(#REF!,MATCH(AY122,#REF!,0))*AZ122,0))</f>
        <v>0</v>
      </c>
      <c r="BB122" s="100">
        <f t="shared" si="16"/>
        <v>0</v>
      </c>
      <c r="BC122" s="110" t="str">
        <f t="shared" si="17"/>
        <v/>
      </c>
      <c r="BD122" s="62"/>
    </row>
    <row r="123" spans="1:56" ht="19.5" customHeight="1" x14ac:dyDescent="0.45">
      <c r="A123" s="104" t="str">
        <f t="shared" si="18"/>
        <v/>
      </c>
      <c r="B123" s="5"/>
      <c r="C123" s="109"/>
      <c r="D123" s="107"/>
      <c r="E123" s="6"/>
      <c r="F123" s="85"/>
      <c r="G123" s="85"/>
      <c r="H123" s="104" t="str">
        <f t="shared" si="10"/>
        <v/>
      </c>
      <c r="I123" s="103" t="str">
        <f>IFERROR(INDEX(#REF!,MATCH(E123,#REF!,0)),"")</f>
        <v/>
      </c>
      <c r="J123" s="6"/>
      <c r="K123" s="103" t="str">
        <f t="shared" si="11"/>
        <v/>
      </c>
      <c r="L123" s="8"/>
      <c r="M123" s="102" t="str">
        <f t="shared" si="12"/>
        <v/>
      </c>
      <c r="N123" s="9"/>
      <c r="O123" s="103" t="str">
        <f t="shared" si="13"/>
        <v/>
      </c>
      <c r="P123" s="6"/>
      <c r="Q123" s="7"/>
      <c r="R123" s="10"/>
      <c r="S123" s="29" t="str">
        <f t="shared" ca="1" si="14"/>
        <v/>
      </c>
      <c r="T123" s="7"/>
      <c r="U123" s="74"/>
      <c r="V123" s="101">
        <f>IF(OR(T123="",U123=""),0,IFERROR(INDEX(#REF!,MATCH(T123,#REF!,0))*U123,0))</f>
        <v>0</v>
      </c>
      <c r="W123" s="7"/>
      <c r="X123" s="74"/>
      <c r="Y123" s="101">
        <f>IF(OR(W123="",X123=""),0,IFERROR(INDEX(#REF!,MATCH(W123,#REF!,0))*X123,0))</f>
        <v>0</v>
      </c>
      <c r="Z123" s="7"/>
      <c r="AA123" s="74"/>
      <c r="AB123" s="101">
        <f>IF(OR(Z123="",AA123=""),0,IFERROR(INDEX(#REF!,MATCH(Z123,#REF!,0))*AA123,0))</f>
        <v>0</v>
      </c>
      <c r="AC123" s="7"/>
      <c r="AD123" s="74"/>
      <c r="AE123" s="101">
        <f>IF(OR(AC123="",AD123=""),0,IFERROR(INDEX(#REF!,MATCH(AC123,#REF!,0))*AD123,0))</f>
        <v>0</v>
      </c>
      <c r="AF123" s="7"/>
      <c r="AG123" s="74"/>
      <c r="AH123" s="101">
        <f>IF(OR(AF123="",AG123=""),0,IFERROR(INDEX(#REF!,MATCH(AF123,#REF!,0))*AG123,0))</f>
        <v>0</v>
      </c>
      <c r="AI123" s="7"/>
      <c r="AJ123" s="74"/>
      <c r="AK123" s="101">
        <f>IF(OR(AI123="",AJ123=""),0,IFERROR(INDEX(#REF!,MATCH(AI123,#REF!,0))*AJ123,0))</f>
        <v>0</v>
      </c>
      <c r="AL123" s="101">
        <f t="shared" si="15"/>
        <v>0</v>
      </c>
      <c r="AM123" s="7"/>
      <c r="AN123" s="72"/>
      <c r="AO123" s="99">
        <f>IF(OR(AM123="",AN123=""),0,IFERROR(INDEX(#REF!,MATCH(AM123,#REF!,0))*AN123,0))</f>
        <v>0</v>
      </c>
      <c r="AP123" s="7"/>
      <c r="AQ123" s="74"/>
      <c r="AR123" s="99">
        <f>IF(OR(AP123="",AQ123=""),0,IFERROR(INDEX(#REF!,MATCH(AP123,#REF!,0))*AQ123,0))</f>
        <v>0</v>
      </c>
      <c r="AS123" s="7"/>
      <c r="AT123" s="74"/>
      <c r="AU123" s="99">
        <f>IF(OR(AS123="",AT123=""),0,IFERROR(INDEX(#REF!,MATCH(AS123,#REF!,0))*AT123,0))</f>
        <v>0</v>
      </c>
      <c r="AV123" s="7"/>
      <c r="AW123" s="74"/>
      <c r="AX123" s="99">
        <f>IF(OR(AV123="",AW123=""),0,IFERROR(INDEX(#REF!,MATCH(AV123,#REF!,0))*AW123,0))</f>
        <v>0</v>
      </c>
      <c r="AY123" s="7"/>
      <c r="AZ123" s="77"/>
      <c r="BA123" s="99">
        <f>IF(OR(AY123="",AZ123=""),0,IFERROR(INDEX(#REF!,MATCH(AY123,#REF!,0))*AZ123,0))</f>
        <v>0</v>
      </c>
      <c r="BB123" s="100">
        <f t="shared" si="16"/>
        <v>0</v>
      </c>
      <c r="BC123" s="110" t="str">
        <f t="shared" si="17"/>
        <v/>
      </c>
      <c r="BD123" s="62"/>
    </row>
    <row r="124" spans="1:56" ht="19.5" customHeight="1" x14ac:dyDescent="0.45">
      <c r="A124" s="104" t="str">
        <f t="shared" si="18"/>
        <v/>
      </c>
      <c r="B124" s="5"/>
      <c r="C124" s="109"/>
      <c r="D124" s="107"/>
      <c r="E124" s="6"/>
      <c r="F124" s="85"/>
      <c r="G124" s="85"/>
      <c r="H124" s="104" t="str">
        <f t="shared" si="10"/>
        <v/>
      </c>
      <c r="I124" s="103" t="str">
        <f>IFERROR(INDEX(#REF!,MATCH(E124,#REF!,0)),"")</f>
        <v/>
      </c>
      <c r="J124" s="6"/>
      <c r="K124" s="103" t="str">
        <f t="shared" si="11"/>
        <v/>
      </c>
      <c r="L124" s="8"/>
      <c r="M124" s="102" t="str">
        <f t="shared" si="12"/>
        <v/>
      </c>
      <c r="N124" s="9"/>
      <c r="O124" s="103" t="str">
        <f t="shared" si="13"/>
        <v/>
      </c>
      <c r="P124" s="6"/>
      <c r="Q124" s="7"/>
      <c r="R124" s="10"/>
      <c r="S124" s="29" t="str">
        <f t="shared" ca="1" si="14"/>
        <v/>
      </c>
      <c r="T124" s="7"/>
      <c r="U124" s="74"/>
      <c r="V124" s="101">
        <f>IF(OR(T124="",U124=""),0,IFERROR(INDEX(#REF!,MATCH(T124,#REF!,0))*U124,0))</f>
        <v>0</v>
      </c>
      <c r="W124" s="7"/>
      <c r="X124" s="74"/>
      <c r="Y124" s="101">
        <f>IF(OR(W124="",X124=""),0,IFERROR(INDEX(#REF!,MATCH(W124,#REF!,0))*X124,0))</f>
        <v>0</v>
      </c>
      <c r="Z124" s="7"/>
      <c r="AA124" s="74"/>
      <c r="AB124" s="101">
        <f>IF(OR(Z124="",AA124=""),0,IFERROR(INDEX(#REF!,MATCH(Z124,#REF!,0))*AA124,0))</f>
        <v>0</v>
      </c>
      <c r="AC124" s="7"/>
      <c r="AD124" s="74"/>
      <c r="AE124" s="101">
        <f>IF(OR(AC124="",AD124=""),0,IFERROR(INDEX(#REF!,MATCH(AC124,#REF!,0))*AD124,0))</f>
        <v>0</v>
      </c>
      <c r="AF124" s="7"/>
      <c r="AG124" s="74"/>
      <c r="AH124" s="101">
        <f>IF(OR(AF124="",AG124=""),0,IFERROR(INDEX(#REF!,MATCH(AF124,#REF!,0))*AG124,0))</f>
        <v>0</v>
      </c>
      <c r="AI124" s="7"/>
      <c r="AJ124" s="74"/>
      <c r="AK124" s="101">
        <f>IF(OR(AI124="",AJ124=""),0,IFERROR(INDEX(#REF!,MATCH(AI124,#REF!,0))*AJ124,0))</f>
        <v>0</v>
      </c>
      <c r="AL124" s="101">
        <f t="shared" si="15"/>
        <v>0</v>
      </c>
      <c r="AM124" s="7"/>
      <c r="AN124" s="72"/>
      <c r="AO124" s="99">
        <f>IF(OR(AM124="",AN124=""),0,IFERROR(INDEX(#REF!,MATCH(AM124,#REF!,0))*AN124,0))</f>
        <v>0</v>
      </c>
      <c r="AP124" s="7"/>
      <c r="AQ124" s="74"/>
      <c r="AR124" s="99">
        <f>IF(OR(AP124="",AQ124=""),0,IFERROR(INDEX(#REF!,MATCH(AP124,#REF!,0))*AQ124,0))</f>
        <v>0</v>
      </c>
      <c r="AS124" s="7"/>
      <c r="AT124" s="74"/>
      <c r="AU124" s="99">
        <f>IF(OR(AS124="",AT124=""),0,IFERROR(INDEX(#REF!,MATCH(AS124,#REF!,0))*AT124,0))</f>
        <v>0</v>
      </c>
      <c r="AV124" s="7"/>
      <c r="AW124" s="74"/>
      <c r="AX124" s="99">
        <f>IF(OR(AV124="",AW124=""),0,IFERROR(INDEX(#REF!,MATCH(AV124,#REF!,0))*AW124,0))</f>
        <v>0</v>
      </c>
      <c r="AY124" s="7"/>
      <c r="AZ124" s="77"/>
      <c r="BA124" s="99">
        <f>IF(OR(AY124="",AZ124=""),0,IFERROR(INDEX(#REF!,MATCH(AY124,#REF!,0))*AZ124,0))</f>
        <v>0</v>
      </c>
      <c r="BB124" s="100">
        <f t="shared" si="16"/>
        <v>0</v>
      </c>
      <c r="BC124" s="110" t="str">
        <f t="shared" si="17"/>
        <v/>
      </c>
      <c r="BD124" s="62"/>
    </row>
    <row r="125" spans="1:56" ht="19.5" customHeight="1" x14ac:dyDescent="0.45">
      <c r="A125" s="104" t="str">
        <f t="shared" si="18"/>
        <v/>
      </c>
      <c r="B125" s="5"/>
      <c r="C125" s="109"/>
      <c r="D125" s="107"/>
      <c r="E125" s="6"/>
      <c r="F125" s="85"/>
      <c r="G125" s="85"/>
      <c r="H125" s="104" t="str">
        <f t="shared" si="10"/>
        <v/>
      </c>
      <c r="I125" s="103" t="str">
        <f>IFERROR(INDEX(#REF!,MATCH(E125,#REF!,0)),"")</f>
        <v/>
      </c>
      <c r="J125" s="6"/>
      <c r="K125" s="103" t="str">
        <f t="shared" si="11"/>
        <v/>
      </c>
      <c r="L125" s="8"/>
      <c r="M125" s="102" t="str">
        <f t="shared" si="12"/>
        <v/>
      </c>
      <c r="N125" s="9"/>
      <c r="O125" s="103" t="str">
        <f t="shared" si="13"/>
        <v/>
      </c>
      <c r="P125" s="6"/>
      <c r="Q125" s="7"/>
      <c r="R125" s="10"/>
      <c r="S125" s="29" t="str">
        <f t="shared" ca="1" si="14"/>
        <v/>
      </c>
      <c r="T125" s="7"/>
      <c r="U125" s="74"/>
      <c r="V125" s="101">
        <f>IF(OR(T125="",U125=""),0,IFERROR(INDEX(#REF!,MATCH(T125,#REF!,0))*U125,0))</f>
        <v>0</v>
      </c>
      <c r="W125" s="7"/>
      <c r="X125" s="74"/>
      <c r="Y125" s="101">
        <f>IF(OR(W125="",X125=""),0,IFERROR(INDEX(#REF!,MATCH(W125,#REF!,0))*X125,0))</f>
        <v>0</v>
      </c>
      <c r="Z125" s="7"/>
      <c r="AA125" s="74"/>
      <c r="AB125" s="101">
        <f>IF(OR(Z125="",AA125=""),0,IFERROR(INDEX(#REF!,MATCH(Z125,#REF!,0))*AA125,0))</f>
        <v>0</v>
      </c>
      <c r="AC125" s="7"/>
      <c r="AD125" s="74"/>
      <c r="AE125" s="101">
        <f>IF(OR(AC125="",AD125=""),0,IFERROR(INDEX(#REF!,MATCH(AC125,#REF!,0))*AD125,0))</f>
        <v>0</v>
      </c>
      <c r="AF125" s="7"/>
      <c r="AG125" s="74"/>
      <c r="AH125" s="101">
        <f>IF(OR(AF125="",AG125=""),0,IFERROR(INDEX(#REF!,MATCH(AF125,#REF!,0))*AG125,0))</f>
        <v>0</v>
      </c>
      <c r="AI125" s="7"/>
      <c r="AJ125" s="74"/>
      <c r="AK125" s="101">
        <f>IF(OR(AI125="",AJ125=""),0,IFERROR(INDEX(#REF!,MATCH(AI125,#REF!,0))*AJ125,0))</f>
        <v>0</v>
      </c>
      <c r="AL125" s="101">
        <f t="shared" si="15"/>
        <v>0</v>
      </c>
      <c r="AM125" s="7"/>
      <c r="AN125" s="72"/>
      <c r="AO125" s="99">
        <f>IF(OR(AM125="",AN125=""),0,IFERROR(INDEX(#REF!,MATCH(AM125,#REF!,0))*AN125,0))</f>
        <v>0</v>
      </c>
      <c r="AP125" s="7"/>
      <c r="AQ125" s="74"/>
      <c r="AR125" s="99">
        <f>IF(OR(AP125="",AQ125=""),0,IFERROR(INDEX(#REF!,MATCH(AP125,#REF!,0))*AQ125,0))</f>
        <v>0</v>
      </c>
      <c r="AS125" s="7"/>
      <c r="AT125" s="74"/>
      <c r="AU125" s="99">
        <f>IF(OR(AS125="",AT125=""),0,IFERROR(INDEX(#REF!,MATCH(AS125,#REF!,0))*AT125,0))</f>
        <v>0</v>
      </c>
      <c r="AV125" s="7"/>
      <c r="AW125" s="74"/>
      <c r="AX125" s="99">
        <f>IF(OR(AV125="",AW125=""),0,IFERROR(INDEX(#REF!,MATCH(AV125,#REF!,0))*AW125,0))</f>
        <v>0</v>
      </c>
      <c r="AY125" s="7"/>
      <c r="AZ125" s="77"/>
      <c r="BA125" s="99">
        <f>IF(OR(AY125="",AZ125=""),0,IFERROR(INDEX(#REF!,MATCH(AY125,#REF!,0))*AZ125,0))</f>
        <v>0</v>
      </c>
      <c r="BB125" s="100">
        <f t="shared" si="16"/>
        <v>0</v>
      </c>
      <c r="BC125" s="110" t="str">
        <f t="shared" si="17"/>
        <v/>
      </c>
      <c r="BD125" s="62"/>
    </row>
    <row r="126" spans="1:56" ht="19.5" customHeight="1" x14ac:dyDescent="0.45">
      <c r="A126" s="104" t="str">
        <f t="shared" si="18"/>
        <v/>
      </c>
      <c r="B126" s="5"/>
      <c r="C126" s="109"/>
      <c r="D126" s="107"/>
      <c r="E126" s="6"/>
      <c r="F126" s="85"/>
      <c r="G126" s="85"/>
      <c r="H126" s="104" t="str">
        <f t="shared" si="10"/>
        <v/>
      </c>
      <c r="I126" s="103" t="str">
        <f>IFERROR(INDEX(#REF!,MATCH(E126,#REF!,0)),"")</f>
        <v/>
      </c>
      <c r="J126" s="6"/>
      <c r="K126" s="103" t="str">
        <f t="shared" si="11"/>
        <v/>
      </c>
      <c r="L126" s="8"/>
      <c r="M126" s="102" t="str">
        <f t="shared" si="12"/>
        <v/>
      </c>
      <c r="N126" s="9"/>
      <c r="O126" s="103" t="str">
        <f t="shared" si="13"/>
        <v/>
      </c>
      <c r="P126" s="6"/>
      <c r="Q126" s="7"/>
      <c r="R126" s="10"/>
      <c r="S126" s="29" t="str">
        <f t="shared" ca="1" si="14"/>
        <v/>
      </c>
      <c r="T126" s="7"/>
      <c r="U126" s="74"/>
      <c r="V126" s="101">
        <f>IF(OR(T126="",U126=""),0,IFERROR(INDEX(#REF!,MATCH(T126,#REF!,0))*U126,0))</f>
        <v>0</v>
      </c>
      <c r="W126" s="7"/>
      <c r="X126" s="74"/>
      <c r="Y126" s="101">
        <f>IF(OR(W126="",X126=""),0,IFERROR(INDEX(#REF!,MATCH(W126,#REF!,0))*X126,0))</f>
        <v>0</v>
      </c>
      <c r="Z126" s="7"/>
      <c r="AA126" s="74"/>
      <c r="AB126" s="101">
        <f>IF(OR(Z126="",AA126=""),0,IFERROR(INDEX(#REF!,MATCH(Z126,#REF!,0))*AA126,0))</f>
        <v>0</v>
      </c>
      <c r="AC126" s="7"/>
      <c r="AD126" s="74"/>
      <c r="AE126" s="101">
        <f>IF(OR(AC126="",AD126=""),0,IFERROR(INDEX(#REF!,MATCH(AC126,#REF!,0))*AD126,0))</f>
        <v>0</v>
      </c>
      <c r="AF126" s="7"/>
      <c r="AG126" s="74"/>
      <c r="AH126" s="101">
        <f>IF(OR(AF126="",AG126=""),0,IFERROR(INDEX(#REF!,MATCH(AF126,#REF!,0))*AG126,0))</f>
        <v>0</v>
      </c>
      <c r="AI126" s="7"/>
      <c r="AJ126" s="74"/>
      <c r="AK126" s="101">
        <f>IF(OR(AI126="",AJ126=""),0,IFERROR(INDEX(#REF!,MATCH(AI126,#REF!,0))*AJ126,0))</f>
        <v>0</v>
      </c>
      <c r="AL126" s="101">
        <f t="shared" si="15"/>
        <v>0</v>
      </c>
      <c r="AM126" s="7"/>
      <c r="AN126" s="72"/>
      <c r="AO126" s="99">
        <f>IF(OR(AM126="",AN126=""),0,IFERROR(INDEX(#REF!,MATCH(AM126,#REF!,0))*AN126,0))</f>
        <v>0</v>
      </c>
      <c r="AP126" s="7"/>
      <c r="AQ126" s="74"/>
      <c r="AR126" s="99">
        <f>IF(OR(AP126="",AQ126=""),0,IFERROR(INDEX(#REF!,MATCH(AP126,#REF!,0))*AQ126,0))</f>
        <v>0</v>
      </c>
      <c r="AS126" s="7"/>
      <c r="AT126" s="74"/>
      <c r="AU126" s="99">
        <f>IF(OR(AS126="",AT126=""),0,IFERROR(INDEX(#REF!,MATCH(AS126,#REF!,0))*AT126,0))</f>
        <v>0</v>
      </c>
      <c r="AV126" s="7"/>
      <c r="AW126" s="74"/>
      <c r="AX126" s="99">
        <f>IF(OR(AV126="",AW126=""),0,IFERROR(INDEX(#REF!,MATCH(AV126,#REF!,0))*AW126,0))</f>
        <v>0</v>
      </c>
      <c r="AY126" s="7"/>
      <c r="AZ126" s="77"/>
      <c r="BA126" s="99">
        <f>IF(OR(AY126="",AZ126=""),0,IFERROR(INDEX(#REF!,MATCH(AY126,#REF!,0))*AZ126,0))</f>
        <v>0</v>
      </c>
      <c r="BB126" s="100">
        <f t="shared" si="16"/>
        <v>0</v>
      </c>
      <c r="BC126" s="110" t="str">
        <f t="shared" si="17"/>
        <v/>
      </c>
      <c r="BD126" s="62"/>
    </row>
    <row r="127" spans="1:56" ht="19.5" customHeight="1" x14ac:dyDescent="0.45">
      <c r="A127" s="104" t="str">
        <f t="shared" si="18"/>
        <v/>
      </c>
      <c r="B127" s="5"/>
      <c r="C127" s="109"/>
      <c r="D127" s="107"/>
      <c r="E127" s="6"/>
      <c r="F127" s="85"/>
      <c r="G127" s="85"/>
      <c r="H127" s="104" t="str">
        <f t="shared" si="10"/>
        <v/>
      </c>
      <c r="I127" s="103" t="str">
        <f>IFERROR(INDEX(#REF!,MATCH(E127,#REF!,0)),"")</f>
        <v/>
      </c>
      <c r="J127" s="6"/>
      <c r="K127" s="103" t="str">
        <f t="shared" si="11"/>
        <v/>
      </c>
      <c r="L127" s="8"/>
      <c r="M127" s="102" t="str">
        <f t="shared" si="12"/>
        <v/>
      </c>
      <c r="N127" s="9"/>
      <c r="O127" s="103" t="str">
        <f t="shared" si="13"/>
        <v/>
      </c>
      <c r="P127" s="6"/>
      <c r="Q127" s="7"/>
      <c r="R127" s="10"/>
      <c r="S127" s="29" t="str">
        <f t="shared" ca="1" si="14"/>
        <v/>
      </c>
      <c r="T127" s="7"/>
      <c r="U127" s="74"/>
      <c r="V127" s="101">
        <f>IF(OR(T127="",U127=""),0,IFERROR(INDEX(#REF!,MATCH(T127,#REF!,0))*U127,0))</f>
        <v>0</v>
      </c>
      <c r="W127" s="7"/>
      <c r="X127" s="74"/>
      <c r="Y127" s="101">
        <f>IF(OR(W127="",X127=""),0,IFERROR(INDEX(#REF!,MATCH(W127,#REF!,0))*X127,0))</f>
        <v>0</v>
      </c>
      <c r="Z127" s="7"/>
      <c r="AA127" s="74"/>
      <c r="AB127" s="101">
        <f>IF(OR(Z127="",AA127=""),0,IFERROR(INDEX(#REF!,MATCH(Z127,#REF!,0))*AA127,0))</f>
        <v>0</v>
      </c>
      <c r="AC127" s="7"/>
      <c r="AD127" s="74"/>
      <c r="AE127" s="101">
        <f>IF(OR(AC127="",AD127=""),0,IFERROR(INDEX(#REF!,MATCH(AC127,#REF!,0))*AD127,0))</f>
        <v>0</v>
      </c>
      <c r="AF127" s="7"/>
      <c r="AG127" s="74"/>
      <c r="AH127" s="101">
        <f>IF(OR(AF127="",AG127=""),0,IFERROR(INDEX(#REF!,MATCH(AF127,#REF!,0))*AG127,0))</f>
        <v>0</v>
      </c>
      <c r="AI127" s="7"/>
      <c r="AJ127" s="74"/>
      <c r="AK127" s="101">
        <f>IF(OR(AI127="",AJ127=""),0,IFERROR(INDEX(#REF!,MATCH(AI127,#REF!,0))*AJ127,0))</f>
        <v>0</v>
      </c>
      <c r="AL127" s="101">
        <f t="shared" si="15"/>
        <v>0</v>
      </c>
      <c r="AM127" s="7"/>
      <c r="AN127" s="72"/>
      <c r="AO127" s="99">
        <f>IF(OR(AM127="",AN127=""),0,IFERROR(INDEX(#REF!,MATCH(AM127,#REF!,0))*AN127,0))</f>
        <v>0</v>
      </c>
      <c r="AP127" s="7"/>
      <c r="AQ127" s="74"/>
      <c r="AR127" s="99">
        <f>IF(OR(AP127="",AQ127=""),0,IFERROR(INDEX(#REF!,MATCH(AP127,#REF!,0))*AQ127,0))</f>
        <v>0</v>
      </c>
      <c r="AS127" s="7"/>
      <c r="AT127" s="74"/>
      <c r="AU127" s="99">
        <f>IF(OR(AS127="",AT127=""),0,IFERROR(INDEX(#REF!,MATCH(AS127,#REF!,0))*AT127,0))</f>
        <v>0</v>
      </c>
      <c r="AV127" s="7"/>
      <c r="AW127" s="74"/>
      <c r="AX127" s="99">
        <f>IF(OR(AV127="",AW127=""),0,IFERROR(INDEX(#REF!,MATCH(AV127,#REF!,0))*AW127,0))</f>
        <v>0</v>
      </c>
      <c r="AY127" s="7"/>
      <c r="AZ127" s="77"/>
      <c r="BA127" s="99">
        <f>IF(OR(AY127="",AZ127=""),0,IFERROR(INDEX(#REF!,MATCH(AY127,#REF!,0))*AZ127,0))</f>
        <v>0</v>
      </c>
      <c r="BB127" s="100">
        <f t="shared" si="16"/>
        <v>0</v>
      </c>
      <c r="BC127" s="110" t="str">
        <f t="shared" si="17"/>
        <v/>
      </c>
      <c r="BD127" s="62"/>
    </row>
    <row r="128" spans="1:56" ht="19.5" customHeight="1" x14ac:dyDescent="0.45">
      <c r="A128" s="104" t="str">
        <f t="shared" si="18"/>
        <v/>
      </c>
      <c r="B128" s="5"/>
      <c r="C128" s="109"/>
      <c r="D128" s="107"/>
      <c r="E128" s="6"/>
      <c r="F128" s="85"/>
      <c r="G128" s="85"/>
      <c r="H128" s="104" t="str">
        <f t="shared" si="10"/>
        <v/>
      </c>
      <c r="I128" s="103" t="str">
        <f>IFERROR(INDEX(#REF!,MATCH(E128,#REF!,0)),"")</f>
        <v/>
      </c>
      <c r="J128" s="6"/>
      <c r="K128" s="103" t="str">
        <f t="shared" si="11"/>
        <v/>
      </c>
      <c r="L128" s="8"/>
      <c r="M128" s="102" t="str">
        <f t="shared" si="12"/>
        <v/>
      </c>
      <c r="N128" s="9"/>
      <c r="O128" s="103" t="str">
        <f t="shared" si="13"/>
        <v/>
      </c>
      <c r="P128" s="6"/>
      <c r="Q128" s="7"/>
      <c r="R128" s="10"/>
      <c r="S128" s="29" t="str">
        <f t="shared" ca="1" si="14"/>
        <v/>
      </c>
      <c r="T128" s="7"/>
      <c r="U128" s="74"/>
      <c r="V128" s="101">
        <f>IF(OR(T128="",U128=""),0,IFERROR(INDEX(#REF!,MATCH(T128,#REF!,0))*U128,0))</f>
        <v>0</v>
      </c>
      <c r="W128" s="7"/>
      <c r="X128" s="74"/>
      <c r="Y128" s="101">
        <f>IF(OR(W128="",X128=""),0,IFERROR(INDEX(#REF!,MATCH(W128,#REF!,0))*X128,0))</f>
        <v>0</v>
      </c>
      <c r="Z128" s="7"/>
      <c r="AA128" s="74"/>
      <c r="AB128" s="101">
        <f>IF(OR(Z128="",AA128=""),0,IFERROR(INDEX(#REF!,MATCH(Z128,#REF!,0))*AA128,0))</f>
        <v>0</v>
      </c>
      <c r="AC128" s="7"/>
      <c r="AD128" s="74"/>
      <c r="AE128" s="101">
        <f>IF(OR(AC128="",AD128=""),0,IFERROR(INDEX(#REF!,MATCH(AC128,#REF!,0))*AD128,0))</f>
        <v>0</v>
      </c>
      <c r="AF128" s="7"/>
      <c r="AG128" s="74"/>
      <c r="AH128" s="101">
        <f>IF(OR(AF128="",AG128=""),0,IFERROR(INDEX(#REF!,MATCH(AF128,#REF!,0))*AG128,0))</f>
        <v>0</v>
      </c>
      <c r="AI128" s="7"/>
      <c r="AJ128" s="74"/>
      <c r="AK128" s="101">
        <f>IF(OR(AI128="",AJ128=""),0,IFERROR(INDEX(#REF!,MATCH(AI128,#REF!,0))*AJ128,0))</f>
        <v>0</v>
      </c>
      <c r="AL128" s="101">
        <f t="shared" si="15"/>
        <v>0</v>
      </c>
      <c r="AM128" s="7"/>
      <c r="AN128" s="72"/>
      <c r="AO128" s="99">
        <f>IF(OR(AM128="",AN128=""),0,IFERROR(INDEX(#REF!,MATCH(AM128,#REF!,0))*AN128,0))</f>
        <v>0</v>
      </c>
      <c r="AP128" s="7"/>
      <c r="AQ128" s="74"/>
      <c r="AR128" s="99">
        <f>IF(OR(AP128="",AQ128=""),0,IFERROR(INDEX(#REF!,MATCH(AP128,#REF!,0))*AQ128,0))</f>
        <v>0</v>
      </c>
      <c r="AS128" s="7"/>
      <c r="AT128" s="74"/>
      <c r="AU128" s="99">
        <f>IF(OR(AS128="",AT128=""),0,IFERROR(INDEX(#REF!,MATCH(AS128,#REF!,0))*AT128,0))</f>
        <v>0</v>
      </c>
      <c r="AV128" s="7"/>
      <c r="AW128" s="74"/>
      <c r="AX128" s="99">
        <f>IF(OR(AV128="",AW128=""),0,IFERROR(INDEX(#REF!,MATCH(AV128,#REF!,0))*AW128,0))</f>
        <v>0</v>
      </c>
      <c r="AY128" s="7"/>
      <c r="AZ128" s="77"/>
      <c r="BA128" s="99">
        <f>IF(OR(AY128="",AZ128=""),0,IFERROR(INDEX(#REF!,MATCH(AY128,#REF!,0))*AZ128,0))</f>
        <v>0</v>
      </c>
      <c r="BB128" s="100">
        <f t="shared" si="16"/>
        <v>0</v>
      </c>
      <c r="BC128" s="110" t="str">
        <f t="shared" si="17"/>
        <v/>
      </c>
      <c r="BD128" s="62"/>
    </row>
    <row r="129" spans="1:56" ht="19.5" customHeight="1" x14ac:dyDescent="0.45">
      <c r="A129" s="104" t="str">
        <f t="shared" si="18"/>
        <v/>
      </c>
      <c r="B129" s="5"/>
      <c r="C129" s="109"/>
      <c r="D129" s="107"/>
      <c r="E129" s="6"/>
      <c r="F129" s="85"/>
      <c r="G129" s="85"/>
      <c r="H129" s="104" t="str">
        <f t="shared" si="10"/>
        <v/>
      </c>
      <c r="I129" s="103" t="str">
        <f>IFERROR(INDEX(#REF!,MATCH(E129,#REF!,0)),"")</f>
        <v/>
      </c>
      <c r="J129" s="6"/>
      <c r="K129" s="103" t="str">
        <f t="shared" si="11"/>
        <v/>
      </c>
      <c r="L129" s="8"/>
      <c r="M129" s="102" t="str">
        <f t="shared" si="12"/>
        <v/>
      </c>
      <c r="N129" s="9"/>
      <c r="O129" s="103" t="str">
        <f t="shared" si="13"/>
        <v/>
      </c>
      <c r="P129" s="6"/>
      <c r="Q129" s="7"/>
      <c r="R129" s="10"/>
      <c r="S129" s="29" t="str">
        <f t="shared" ca="1" si="14"/>
        <v/>
      </c>
      <c r="T129" s="7"/>
      <c r="U129" s="74"/>
      <c r="V129" s="101">
        <f>IF(OR(T129="",U129=""),0,IFERROR(INDEX(#REF!,MATCH(T129,#REF!,0))*U129,0))</f>
        <v>0</v>
      </c>
      <c r="W129" s="7"/>
      <c r="X129" s="74"/>
      <c r="Y129" s="101">
        <f>IF(OR(W129="",X129=""),0,IFERROR(INDEX(#REF!,MATCH(W129,#REF!,0))*X129,0))</f>
        <v>0</v>
      </c>
      <c r="Z129" s="7"/>
      <c r="AA129" s="74"/>
      <c r="AB129" s="101">
        <f>IF(OR(Z129="",AA129=""),0,IFERROR(INDEX(#REF!,MATCH(Z129,#REF!,0))*AA129,0))</f>
        <v>0</v>
      </c>
      <c r="AC129" s="7"/>
      <c r="AD129" s="74"/>
      <c r="AE129" s="101">
        <f>IF(OR(AC129="",AD129=""),0,IFERROR(INDEX(#REF!,MATCH(AC129,#REF!,0))*AD129,0))</f>
        <v>0</v>
      </c>
      <c r="AF129" s="7"/>
      <c r="AG129" s="74"/>
      <c r="AH129" s="101">
        <f>IF(OR(AF129="",AG129=""),0,IFERROR(INDEX(#REF!,MATCH(AF129,#REF!,0))*AG129,0))</f>
        <v>0</v>
      </c>
      <c r="AI129" s="7"/>
      <c r="AJ129" s="74"/>
      <c r="AK129" s="101">
        <f>IF(OR(AI129="",AJ129=""),0,IFERROR(INDEX(#REF!,MATCH(AI129,#REF!,0))*AJ129,0))</f>
        <v>0</v>
      </c>
      <c r="AL129" s="101">
        <f t="shared" si="15"/>
        <v>0</v>
      </c>
      <c r="AM129" s="7"/>
      <c r="AN129" s="72"/>
      <c r="AO129" s="99">
        <f>IF(OR(AM129="",AN129=""),0,IFERROR(INDEX(#REF!,MATCH(AM129,#REF!,0))*AN129,0))</f>
        <v>0</v>
      </c>
      <c r="AP129" s="7"/>
      <c r="AQ129" s="74"/>
      <c r="AR129" s="99">
        <f>IF(OR(AP129="",AQ129=""),0,IFERROR(INDEX(#REF!,MATCH(AP129,#REF!,0))*AQ129,0))</f>
        <v>0</v>
      </c>
      <c r="AS129" s="7"/>
      <c r="AT129" s="74"/>
      <c r="AU129" s="99">
        <f>IF(OR(AS129="",AT129=""),0,IFERROR(INDEX(#REF!,MATCH(AS129,#REF!,0))*AT129,0))</f>
        <v>0</v>
      </c>
      <c r="AV129" s="7"/>
      <c r="AW129" s="74"/>
      <c r="AX129" s="99">
        <f>IF(OR(AV129="",AW129=""),0,IFERROR(INDEX(#REF!,MATCH(AV129,#REF!,0))*AW129,0))</f>
        <v>0</v>
      </c>
      <c r="AY129" s="7"/>
      <c r="AZ129" s="77"/>
      <c r="BA129" s="99">
        <f>IF(OR(AY129="",AZ129=""),0,IFERROR(INDEX(#REF!,MATCH(AY129,#REF!,0))*AZ129,0))</f>
        <v>0</v>
      </c>
      <c r="BB129" s="100">
        <f t="shared" si="16"/>
        <v>0</v>
      </c>
      <c r="BC129" s="110" t="str">
        <f t="shared" si="17"/>
        <v/>
      </c>
      <c r="BD129" s="62"/>
    </row>
    <row r="130" spans="1:56" ht="19.5" customHeight="1" x14ac:dyDescent="0.45">
      <c r="A130" s="104" t="str">
        <f t="shared" si="18"/>
        <v/>
      </c>
      <c r="B130" s="5"/>
      <c r="C130" s="109"/>
      <c r="D130" s="107"/>
      <c r="E130" s="6"/>
      <c r="F130" s="85"/>
      <c r="G130" s="85"/>
      <c r="H130" s="104" t="str">
        <f t="shared" si="10"/>
        <v/>
      </c>
      <c r="I130" s="103" t="str">
        <f>IFERROR(INDEX(#REF!,MATCH(E130,#REF!,0)),"")</f>
        <v/>
      </c>
      <c r="J130" s="6"/>
      <c r="K130" s="103" t="str">
        <f t="shared" si="11"/>
        <v/>
      </c>
      <c r="L130" s="8"/>
      <c r="M130" s="102" t="str">
        <f t="shared" si="12"/>
        <v/>
      </c>
      <c r="N130" s="9"/>
      <c r="O130" s="103" t="str">
        <f t="shared" si="13"/>
        <v/>
      </c>
      <c r="P130" s="6"/>
      <c r="Q130" s="7"/>
      <c r="R130" s="10"/>
      <c r="S130" s="29" t="str">
        <f t="shared" ca="1" si="14"/>
        <v/>
      </c>
      <c r="T130" s="7"/>
      <c r="U130" s="74"/>
      <c r="V130" s="101">
        <f>IF(OR(T130="",U130=""),0,IFERROR(INDEX(#REF!,MATCH(T130,#REF!,0))*U130,0))</f>
        <v>0</v>
      </c>
      <c r="W130" s="7"/>
      <c r="X130" s="74"/>
      <c r="Y130" s="101">
        <f>IF(OR(W130="",X130=""),0,IFERROR(INDEX(#REF!,MATCH(W130,#REF!,0))*X130,0))</f>
        <v>0</v>
      </c>
      <c r="Z130" s="7"/>
      <c r="AA130" s="74"/>
      <c r="AB130" s="101">
        <f>IF(OR(Z130="",AA130=""),0,IFERROR(INDEX(#REF!,MATCH(Z130,#REF!,0))*AA130,0))</f>
        <v>0</v>
      </c>
      <c r="AC130" s="7"/>
      <c r="AD130" s="74"/>
      <c r="AE130" s="101">
        <f>IF(OR(AC130="",AD130=""),0,IFERROR(INDEX(#REF!,MATCH(AC130,#REF!,0))*AD130,0))</f>
        <v>0</v>
      </c>
      <c r="AF130" s="7"/>
      <c r="AG130" s="74"/>
      <c r="AH130" s="101">
        <f>IF(OR(AF130="",AG130=""),0,IFERROR(INDEX(#REF!,MATCH(AF130,#REF!,0))*AG130,0))</f>
        <v>0</v>
      </c>
      <c r="AI130" s="7"/>
      <c r="AJ130" s="74"/>
      <c r="AK130" s="101">
        <f>IF(OR(AI130="",AJ130=""),0,IFERROR(INDEX(#REF!,MATCH(AI130,#REF!,0))*AJ130,0))</f>
        <v>0</v>
      </c>
      <c r="AL130" s="101">
        <f t="shared" si="15"/>
        <v>0</v>
      </c>
      <c r="AM130" s="7"/>
      <c r="AN130" s="72"/>
      <c r="AO130" s="99">
        <f>IF(OR(AM130="",AN130=""),0,IFERROR(INDEX(#REF!,MATCH(AM130,#REF!,0))*AN130,0))</f>
        <v>0</v>
      </c>
      <c r="AP130" s="7"/>
      <c r="AQ130" s="74"/>
      <c r="AR130" s="99">
        <f>IF(OR(AP130="",AQ130=""),0,IFERROR(INDEX(#REF!,MATCH(AP130,#REF!,0))*AQ130,0))</f>
        <v>0</v>
      </c>
      <c r="AS130" s="7"/>
      <c r="AT130" s="74"/>
      <c r="AU130" s="99">
        <f>IF(OR(AS130="",AT130=""),0,IFERROR(INDEX(#REF!,MATCH(AS130,#REF!,0))*AT130,0))</f>
        <v>0</v>
      </c>
      <c r="AV130" s="7"/>
      <c r="AW130" s="74"/>
      <c r="AX130" s="99">
        <f>IF(OR(AV130="",AW130=""),0,IFERROR(INDEX(#REF!,MATCH(AV130,#REF!,0))*AW130,0))</f>
        <v>0</v>
      </c>
      <c r="AY130" s="7"/>
      <c r="AZ130" s="77"/>
      <c r="BA130" s="99">
        <f>IF(OR(AY130="",AZ130=""),0,IFERROR(INDEX(#REF!,MATCH(AY130,#REF!,0))*AZ130,0))</f>
        <v>0</v>
      </c>
      <c r="BB130" s="100">
        <f t="shared" si="16"/>
        <v>0</v>
      </c>
      <c r="BC130" s="110" t="str">
        <f t="shared" si="17"/>
        <v/>
      </c>
      <c r="BD130" s="62"/>
    </row>
    <row r="131" spans="1:56" ht="19.5" customHeight="1" x14ac:dyDescent="0.45">
      <c r="A131" s="104" t="str">
        <f t="shared" si="18"/>
        <v/>
      </c>
      <c r="B131" s="5"/>
      <c r="C131" s="109"/>
      <c r="D131" s="107"/>
      <c r="E131" s="6"/>
      <c r="F131" s="85"/>
      <c r="G131" s="85"/>
      <c r="H131" s="104" t="str">
        <f t="shared" si="10"/>
        <v/>
      </c>
      <c r="I131" s="103" t="str">
        <f>IFERROR(INDEX(#REF!,MATCH(E131,#REF!,0)),"")</f>
        <v/>
      </c>
      <c r="J131" s="6"/>
      <c r="K131" s="103" t="str">
        <f t="shared" si="11"/>
        <v/>
      </c>
      <c r="L131" s="8"/>
      <c r="M131" s="102" t="str">
        <f t="shared" si="12"/>
        <v/>
      </c>
      <c r="N131" s="9"/>
      <c r="O131" s="103" t="str">
        <f t="shared" si="13"/>
        <v/>
      </c>
      <c r="P131" s="6"/>
      <c r="Q131" s="7"/>
      <c r="R131" s="10"/>
      <c r="S131" s="29" t="str">
        <f t="shared" ca="1" si="14"/>
        <v/>
      </c>
      <c r="T131" s="7"/>
      <c r="U131" s="74"/>
      <c r="V131" s="101">
        <f>IF(OR(T131="",U131=""),0,IFERROR(INDEX(#REF!,MATCH(T131,#REF!,0))*U131,0))</f>
        <v>0</v>
      </c>
      <c r="W131" s="7"/>
      <c r="X131" s="74"/>
      <c r="Y131" s="101">
        <f>IF(OR(W131="",X131=""),0,IFERROR(INDEX(#REF!,MATCH(W131,#REF!,0))*X131,0))</f>
        <v>0</v>
      </c>
      <c r="Z131" s="7"/>
      <c r="AA131" s="74"/>
      <c r="AB131" s="101">
        <f>IF(OR(Z131="",AA131=""),0,IFERROR(INDEX(#REF!,MATCH(Z131,#REF!,0))*AA131,0))</f>
        <v>0</v>
      </c>
      <c r="AC131" s="7"/>
      <c r="AD131" s="74"/>
      <c r="AE131" s="101">
        <f>IF(OR(AC131="",AD131=""),0,IFERROR(INDEX(#REF!,MATCH(AC131,#REF!,0))*AD131,0))</f>
        <v>0</v>
      </c>
      <c r="AF131" s="7"/>
      <c r="AG131" s="74"/>
      <c r="AH131" s="101">
        <f>IF(OR(AF131="",AG131=""),0,IFERROR(INDEX(#REF!,MATCH(AF131,#REF!,0))*AG131,0))</f>
        <v>0</v>
      </c>
      <c r="AI131" s="7"/>
      <c r="AJ131" s="74"/>
      <c r="AK131" s="101">
        <f>IF(OR(AI131="",AJ131=""),0,IFERROR(INDEX(#REF!,MATCH(AI131,#REF!,0))*AJ131,0))</f>
        <v>0</v>
      </c>
      <c r="AL131" s="101">
        <f t="shared" si="15"/>
        <v>0</v>
      </c>
      <c r="AM131" s="7"/>
      <c r="AN131" s="72"/>
      <c r="AO131" s="99">
        <f>IF(OR(AM131="",AN131=""),0,IFERROR(INDEX(#REF!,MATCH(AM131,#REF!,0))*AN131,0))</f>
        <v>0</v>
      </c>
      <c r="AP131" s="7"/>
      <c r="AQ131" s="74"/>
      <c r="AR131" s="99">
        <f>IF(OR(AP131="",AQ131=""),0,IFERROR(INDEX(#REF!,MATCH(AP131,#REF!,0))*AQ131,0))</f>
        <v>0</v>
      </c>
      <c r="AS131" s="7"/>
      <c r="AT131" s="74"/>
      <c r="AU131" s="99">
        <f>IF(OR(AS131="",AT131=""),0,IFERROR(INDEX(#REF!,MATCH(AS131,#REF!,0))*AT131,0))</f>
        <v>0</v>
      </c>
      <c r="AV131" s="7"/>
      <c r="AW131" s="74"/>
      <c r="AX131" s="99">
        <f>IF(OR(AV131="",AW131=""),0,IFERROR(INDEX(#REF!,MATCH(AV131,#REF!,0))*AW131,0))</f>
        <v>0</v>
      </c>
      <c r="AY131" s="7"/>
      <c r="AZ131" s="77"/>
      <c r="BA131" s="99">
        <f>IF(OR(AY131="",AZ131=""),0,IFERROR(INDEX(#REF!,MATCH(AY131,#REF!,0))*AZ131,0))</f>
        <v>0</v>
      </c>
      <c r="BB131" s="100">
        <f t="shared" si="16"/>
        <v>0</v>
      </c>
      <c r="BC131" s="110" t="str">
        <f t="shared" si="17"/>
        <v/>
      </c>
      <c r="BD131" s="62"/>
    </row>
    <row r="132" spans="1:56" ht="19.5" customHeight="1" x14ac:dyDescent="0.45">
      <c r="A132" s="104" t="str">
        <f t="shared" si="18"/>
        <v/>
      </c>
      <c r="B132" s="5"/>
      <c r="C132" s="109"/>
      <c r="D132" s="107"/>
      <c r="E132" s="6"/>
      <c r="F132" s="85"/>
      <c r="G132" s="85"/>
      <c r="H132" s="104" t="str">
        <f t="shared" si="10"/>
        <v/>
      </c>
      <c r="I132" s="103" t="str">
        <f>IFERROR(INDEX(#REF!,MATCH(E132,#REF!,0)),"")</f>
        <v/>
      </c>
      <c r="J132" s="6"/>
      <c r="K132" s="103" t="str">
        <f t="shared" si="11"/>
        <v/>
      </c>
      <c r="L132" s="8"/>
      <c r="M132" s="102" t="str">
        <f t="shared" si="12"/>
        <v/>
      </c>
      <c r="N132" s="9"/>
      <c r="O132" s="103" t="str">
        <f t="shared" si="13"/>
        <v/>
      </c>
      <c r="P132" s="6"/>
      <c r="Q132" s="7"/>
      <c r="R132" s="10"/>
      <c r="S132" s="29" t="str">
        <f t="shared" ca="1" si="14"/>
        <v/>
      </c>
      <c r="T132" s="7"/>
      <c r="U132" s="74"/>
      <c r="V132" s="101">
        <f>IF(OR(T132="",U132=""),0,IFERROR(INDEX(#REF!,MATCH(T132,#REF!,0))*U132,0))</f>
        <v>0</v>
      </c>
      <c r="W132" s="7"/>
      <c r="X132" s="74"/>
      <c r="Y132" s="101">
        <f>IF(OR(W132="",X132=""),0,IFERROR(INDEX(#REF!,MATCH(W132,#REF!,0))*X132,0))</f>
        <v>0</v>
      </c>
      <c r="Z132" s="7"/>
      <c r="AA132" s="74"/>
      <c r="AB132" s="101">
        <f>IF(OR(Z132="",AA132=""),0,IFERROR(INDEX(#REF!,MATCH(Z132,#REF!,0))*AA132,0))</f>
        <v>0</v>
      </c>
      <c r="AC132" s="7"/>
      <c r="AD132" s="74"/>
      <c r="AE132" s="101">
        <f>IF(OR(AC132="",AD132=""),0,IFERROR(INDEX(#REF!,MATCH(AC132,#REF!,0))*AD132,0))</f>
        <v>0</v>
      </c>
      <c r="AF132" s="7"/>
      <c r="AG132" s="74"/>
      <c r="AH132" s="101">
        <f>IF(OR(AF132="",AG132=""),0,IFERROR(INDEX(#REF!,MATCH(AF132,#REF!,0))*AG132,0))</f>
        <v>0</v>
      </c>
      <c r="AI132" s="7"/>
      <c r="AJ132" s="74"/>
      <c r="AK132" s="101">
        <f>IF(OR(AI132="",AJ132=""),0,IFERROR(INDEX(#REF!,MATCH(AI132,#REF!,0))*AJ132,0))</f>
        <v>0</v>
      </c>
      <c r="AL132" s="101">
        <f t="shared" si="15"/>
        <v>0</v>
      </c>
      <c r="AM132" s="7"/>
      <c r="AN132" s="72"/>
      <c r="AO132" s="99">
        <f>IF(OR(AM132="",AN132=""),0,IFERROR(INDEX(#REF!,MATCH(AM132,#REF!,0))*AN132,0))</f>
        <v>0</v>
      </c>
      <c r="AP132" s="7"/>
      <c r="AQ132" s="74"/>
      <c r="AR132" s="99">
        <f>IF(OR(AP132="",AQ132=""),0,IFERROR(INDEX(#REF!,MATCH(AP132,#REF!,0))*AQ132,0))</f>
        <v>0</v>
      </c>
      <c r="AS132" s="7"/>
      <c r="AT132" s="74"/>
      <c r="AU132" s="99">
        <f>IF(OR(AS132="",AT132=""),0,IFERROR(INDEX(#REF!,MATCH(AS132,#REF!,0))*AT132,0))</f>
        <v>0</v>
      </c>
      <c r="AV132" s="7"/>
      <c r="AW132" s="74"/>
      <c r="AX132" s="99">
        <f>IF(OR(AV132="",AW132=""),0,IFERROR(INDEX(#REF!,MATCH(AV132,#REF!,0))*AW132,0))</f>
        <v>0</v>
      </c>
      <c r="AY132" s="7"/>
      <c r="AZ132" s="77"/>
      <c r="BA132" s="99">
        <f>IF(OR(AY132="",AZ132=""),0,IFERROR(INDEX(#REF!,MATCH(AY132,#REF!,0))*AZ132,0))</f>
        <v>0</v>
      </c>
      <c r="BB132" s="100">
        <f t="shared" si="16"/>
        <v>0</v>
      </c>
      <c r="BC132" s="110" t="str">
        <f t="shared" si="17"/>
        <v/>
      </c>
      <c r="BD132" s="62"/>
    </row>
    <row r="133" spans="1:56" ht="19.5" customHeight="1" x14ac:dyDescent="0.45">
      <c r="A133" s="104" t="str">
        <f t="shared" si="18"/>
        <v/>
      </c>
      <c r="B133" s="5"/>
      <c r="C133" s="109"/>
      <c r="D133" s="107"/>
      <c r="E133" s="6"/>
      <c r="F133" s="85"/>
      <c r="G133" s="85"/>
      <c r="H133" s="104" t="str">
        <f t="shared" ref="H133:H196" si="19">IF(AND(F133&lt;&gt;"",G133&lt;&gt;""),G133-F133,"")</f>
        <v/>
      </c>
      <c r="I133" s="103" t="str">
        <f>IFERROR(INDEX(#REF!,MATCH(E133,#REF!,0)),"")</f>
        <v/>
      </c>
      <c r="J133" s="6"/>
      <c r="K133" s="103" t="str">
        <f t="shared" ref="K133:K196" si="20">IF(AND(ISNUMBER(H133),ISNUMBER(I133)),H133*I133,"")</f>
        <v/>
      </c>
      <c r="L133" s="8"/>
      <c r="M133" s="102" t="str">
        <f t="shared" ref="M133:M196" si="21">IF(ISNUMBER(K133),K133*(1-L133),"")</f>
        <v/>
      </c>
      <c r="N133" s="9"/>
      <c r="O133" s="103" t="str">
        <f t="shared" ref="O133:O196" si="22">IF(ISNUMBER(M133),M133-N133,"")</f>
        <v/>
      </c>
      <c r="P133" s="6"/>
      <c r="Q133" s="7"/>
      <c r="R133" s="10"/>
      <c r="S133" s="29" t="str">
        <f t="shared" ca="1" si="14"/>
        <v/>
      </c>
      <c r="T133" s="7"/>
      <c r="U133" s="74"/>
      <c r="V133" s="101">
        <f>IF(OR(T133="",U133=""),0,IFERROR(INDEX(#REF!,MATCH(T133,#REF!,0))*U133,0))</f>
        <v>0</v>
      </c>
      <c r="W133" s="7"/>
      <c r="X133" s="74"/>
      <c r="Y133" s="101">
        <f>IF(OR(W133="",X133=""),0,IFERROR(INDEX(#REF!,MATCH(W133,#REF!,0))*X133,0))</f>
        <v>0</v>
      </c>
      <c r="Z133" s="7"/>
      <c r="AA133" s="74"/>
      <c r="AB133" s="101">
        <f>IF(OR(Z133="",AA133=""),0,IFERROR(INDEX(#REF!,MATCH(Z133,#REF!,0))*AA133,0))</f>
        <v>0</v>
      </c>
      <c r="AC133" s="7"/>
      <c r="AD133" s="74"/>
      <c r="AE133" s="101">
        <f>IF(OR(AC133="",AD133=""),0,IFERROR(INDEX(#REF!,MATCH(AC133,#REF!,0))*AD133,0))</f>
        <v>0</v>
      </c>
      <c r="AF133" s="7"/>
      <c r="AG133" s="74"/>
      <c r="AH133" s="101">
        <f>IF(OR(AF133="",AG133=""),0,IFERROR(INDEX(#REF!,MATCH(AF133,#REF!,0))*AG133,0))</f>
        <v>0</v>
      </c>
      <c r="AI133" s="7"/>
      <c r="AJ133" s="74"/>
      <c r="AK133" s="101">
        <f>IF(OR(AI133="",AJ133=""),0,IFERROR(INDEX(#REF!,MATCH(AI133,#REF!,0))*AJ133,0))</f>
        <v>0</v>
      </c>
      <c r="AL133" s="101">
        <f t="shared" si="15"/>
        <v>0</v>
      </c>
      <c r="AM133" s="7"/>
      <c r="AN133" s="72"/>
      <c r="AO133" s="99">
        <f>IF(OR(AM133="",AN133=""),0,IFERROR(INDEX(#REF!,MATCH(AM133,#REF!,0))*AN133,0))</f>
        <v>0</v>
      </c>
      <c r="AP133" s="7"/>
      <c r="AQ133" s="74"/>
      <c r="AR133" s="99">
        <f>IF(OR(AP133="",AQ133=""),0,IFERROR(INDEX(#REF!,MATCH(AP133,#REF!,0))*AQ133,0))</f>
        <v>0</v>
      </c>
      <c r="AS133" s="7"/>
      <c r="AT133" s="74"/>
      <c r="AU133" s="99">
        <f>IF(OR(AS133="",AT133=""),0,IFERROR(INDEX(#REF!,MATCH(AS133,#REF!,0))*AT133,0))</f>
        <v>0</v>
      </c>
      <c r="AV133" s="7"/>
      <c r="AW133" s="74"/>
      <c r="AX133" s="99">
        <f>IF(OR(AV133="",AW133=""),0,IFERROR(INDEX(#REF!,MATCH(AV133,#REF!,0))*AW133,0))</f>
        <v>0</v>
      </c>
      <c r="AY133" s="7"/>
      <c r="AZ133" s="77"/>
      <c r="BA133" s="99">
        <f>IF(OR(AY133="",AZ133=""),0,IFERROR(INDEX(#REF!,MATCH(AY133,#REF!,0))*AZ133,0))</f>
        <v>0</v>
      </c>
      <c r="BB133" s="100">
        <f t="shared" si="16"/>
        <v>0</v>
      </c>
      <c r="BC133" s="110" t="str">
        <f t="shared" si="17"/>
        <v/>
      </c>
      <c r="BD133" s="62"/>
    </row>
    <row r="134" spans="1:56" ht="19.5" customHeight="1" x14ac:dyDescent="0.45">
      <c r="A134" s="104" t="str">
        <f t="shared" si="18"/>
        <v/>
      </c>
      <c r="B134" s="5"/>
      <c r="C134" s="109"/>
      <c r="D134" s="107"/>
      <c r="E134" s="6"/>
      <c r="F134" s="85"/>
      <c r="G134" s="85"/>
      <c r="H134" s="104" t="str">
        <f t="shared" si="19"/>
        <v/>
      </c>
      <c r="I134" s="103" t="str">
        <f>IFERROR(INDEX(#REF!,MATCH(E134,#REF!,0)),"")</f>
        <v/>
      </c>
      <c r="J134" s="6"/>
      <c r="K134" s="103" t="str">
        <f t="shared" si="20"/>
        <v/>
      </c>
      <c r="L134" s="8"/>
      <c r="M134" s="102" t="str">
        <f t="shared" si="21"/>
        <v/>
      </c>
      <c r="N134" s="9"/>
      <c r="O134" s="103" t="str">
        <f t="shared" si="22"/>
        <v/>
      </c>
      <c r="P134" s="6"/>
      <c r="Q134" s="7"/>
      <c r="R134" s="10"/>
      <c r="S134" s="29" t="str">
        <f t="shared" ref="S134:S197" ca="1" si="23">IF(AND(B134&lt;&gt;"",F134&lt;&gt;"",F134&gt;=TODAY(),F134&lt;=TODAY()+180,P134&lt;&gt;"Cancelled"),F134+ROW()/100000,"")</f>
        <v/>
      </c>
      <c r="T134" s="7"/>
      <c r="U134" s="74"/>
      <c r="V134" s="101">
        <f>IF(OR(T134="",U134=""),0,IFERROR(INDEX(#REF!,MATCH(T134,#REF!,0))*U134,0))</f>
        <v>0</v>
      </c>
      <c r="W134" s="7"/>
      <c r="X134" s="74"/>
      <c r="Y134" s="101">
        <f>IF(OR(W134="",X134=""),0,IFERROR(INDEX(#REF!,MATCH(W134,#REF!,0))*X134,0))</f>
        <v>0</v>
      </c>
      <c r="Z134" s="7"/>
      <c r="AA134" s="74"/>
      <c r="AB134" s="101">
        <f>IF(OR(Z134="",AA134=""),0,IFERROR(INDEX(#REF!,MATCH(Z134,#REF!,0))*AA134,0))</f>
        <v>0</v>
      </c>
      <c r="AC134" s="7"/>
      <c r="AD134" s="74"/>
      <c r="AE134" s="101">
        <f>IF(OR(AC134="",AD134=""),0,IFERROR(INDEX(#REF!,MATCH(AC134,#REF!,0))*AD134,0))</f>
        <v>0</v>
      </c>
      <c r="AF134" s="7"/>
      <c r="AG134" s="74"/>
      <c r="AH134" s="101">
        <f>IF(OR(AF134="",AG134=""),0,IFERROR(INDEX(#REF!,MATCH(AF134,#REF!,0))*AG134,0))</f>
        <v>0</v>
      </c>
      <c r="AI134" s="7"/>
      <c r="AJ134" s="74"/>
      <c r="AK134" s="101">
        <f>IF(OR(AI134="",AJ134=""),0,IFERROR(INDEX(#REF!,MATCH(AI134,#REF!,0))*AJ134,0))</f>
        <v>0</v>
      </c>
      <c r="AL134" s="101">
        <f t="shared" ref="AL134:AL197" si="24">SUM(V134+Y134+AB134+AE134+AH134+AK134)</f>
        <v>0</v>
      </c>
      <c r="AM134" s="7"/>
      <c r="AN134" s="72"/>
      <c r="AO134" s="99">
        <f>IF(OR(AM134="",AN134=""),0,IFERROR(INDEX(#REF!,MATCH(AM134,#REF!,0))*AN134,0))</f>
        <v>0</v>
      </c>
      <c r="AP134" s="7"/>
      <c r="AQ134" s="74"/>
      <c r="AR134" s="99">
        <f>IF(OR(AP134="",AQ134=""),0,IFERROR(INDEX(#REF!,MATCH(AP134,#REF!,0))*AQ134,0))</f>
        <v>0</v>
      </c>
      <c r="AS134" s="7"/>
      <c r="AT134" s="74"/>
      <c r="AU134" s="99">
        <f>IF(OR(AS134="",AT134=""),0,IFERROR(INDEX(#REF!,MATCH(AS134,#REF!,0))*AT134,0))</f>
        <v>0</v>
      </c>
      <c r="AV134" s="7"/>
      <c r="AW134" s="74"/>
      <c r="AX134" s="99">
        <f>IF(OR(AV134="",AW134=""),0,IFERROR(INDEX(#REF!,MATCH(AV134,#REF!,0))*AW134,0))</f>
        <v>0</v>
      </c>
      <c r="AY134" s="7"/>
      <c r="AZ134" s="77"/>
      <c r="BA134" s="99">
        <f>IF(OR(AY134="",AZ134=""),0,IFERROR(INDEX(#REF!,MATCH(AY134,#REF!,0))*AZ134,0))</f>
        <v>0</v>
      </c>
      <c r="BB134" s="100">
        <f t="shared" ref="BB134:BB197" si="25">SUM(AO134+AR134+AU134+AX134+BA134)</f>
        <v>0</v>
      </c>
      <c r="BC134" s="110" t="str">
        <f t="shared" ref="BC134:BC197" si="26">IF(ISNUMBER(M134),M134+AL134+BB134,"")</f>
        <v/>
      </c>
      <c r="BD134" s="62"/>
    </row>
    <row r="135" spans="1:56" ht="19.5" customHeight="1" x14ac:dyDescent="0.45">
      <c r="A135" s="104" t="str">
        <f t="shared" si="18"/>
        <v/>
      </c>
      <c r="B135" s="5"/>
      <c r="C135" s="109"/>
      <c r="D135" s="107"/>
      <c r="E135" s="6"/>
      <c r="F135" s="85"/>
      <c r="G135" s="85"/>
      <c r="H135" s="104" t="str">
        <f t="shared" si="19"/>
        <v/>
      </c>
      <c r="I135" s="103" t="str">
        <f>IFERROR(INDEX(#REF!,MATCH(E135,#REF!,0)),"")</f>
        <v/>
      </c>
      <c r="J135" s="6"/>
      <c r="K135" s="103" t="str">
        <f t="shared" si="20"/>
        <v/>
      </c>
      <c r="L135" s="8"/>
      <c r="M135" s="102" t="str">
        <f t="shared" si="21"/>
        <v/>
      </c>
      <c r="N135" s="9"/>
      <c r="O135" s="103" t="str">
        <f t="shared" si="22"/>
        <v/>
      </c>
      <c r="P135" s="6"/>
      <c r="Q135" s="7"/>
      <c r="R135" s="10"/>
      <c r="S135" s="29" t="str">
        <f t="shared" ca="1" si="23"/>
        <v/>
      </c>
      <c r="T135" s="7"/>
      <c r="U135" s="74"/>
      <c r="V135" s="101">
        <f>IF(OR(T135="",U135=""),0,IFERROR(INDEX(#REF!,MATCH(T135,#REF!,0))*U135,0))</f>
        <v>0</v>
      </c>
      <c r="W135" s="7"/>
      <c r="X135" s="74"/>
      <c r="Y135" s="101">
        <f>IF(OR(W135="",X135=""),0,IFERROR(INDEX(#REF!,MATCH(W135,#REF!,0))*X135,0))</f>
        <v>0</v>
      </c>
      <c r="Z135" s="7"/>
      <c r="AA135" s="74"/>
      <c r="AB135" s="101">
        <f>IF(OR(Z135="",AA135=""),0,IFERROR(INDEX(#REF!,MATCH(Z135,#REF!,0))*AA135,0))</f>
        <v>0</v>
      </c>
      <c r="AC135" s="7"/>
      <c r="AD135" s="74"/>
      <c r="AE135" s="101">
        <f>IF(OR(AC135="",AD135=""),0,IFERROR(INDEX(#REF!,MATCH(AC135,#REF!,0))*AD135,0))</f>
        <v>0</v>
      </c>
      <c r="AF135" s="7"/>
      <c r="AG135" s="74"/>
      <c r="AH135" s="101">
        <f>IF(OR(AF135="",AG135=""),0,IFERROR(INDEX(#REF!,MATCH(AF135,#REF!,0))*AG135,0))</f>
        <v>0</v>
      </c>
      <c r="AI135" s="7"/>
      <c r="AJ135" s="74"/>
      <c r="AK135" s="101">
        <f>IF(OR(AI135="",AJ135=""),0,IFERROR(INDEX(#REF!,MATCH(AI135,#REF!,0))*AJ135,0))</f>
        <v>0</v>
      </c>
      <c r="AL135" s="101">
        <f t="shared" si="24"/>
        <v>0</v>
      </c>
      <c r="AM135" s="7"/>
      <c r="AN135" s="72"/>
      <c r="AO135" s="99">
        <f>IF(OR(AM135="",AN135=""),0,IFERROR(INDEX(#REF!,MATCH(AM135,#REF!,0))*AN135,0))</f>
        <v>0</v>
      </c>
      <c r="AP135" s="7"/>
      <c r="AQ135" s="74"/>
      <c r="AR135" s="99">
        <f>IF(OR(AP135="",AQ135=""),0,IFERROR(INDEX(#REF!,MATCH(AP135,#REF!,0))*AQ135,0))</f>
        <v>0</v>
      </c>
      <c r="AS135" s="7"/>
      <c r="AT135" s="74"/>
      <c r="AU135" s="99">
        <f>IF(OR(AS135="",AT135=""),0,IFERROR(INDEX(#REF!,MATCH(AS135,#REF!,0))*AT135,0))</f>
        <v>0</v>
      </c>
      <c r="AV135" s="7"/>
      <c r="AW135" s="74"/>
      <c r="AX135" s="99">
        <f>IF(OR(AV135="",AW135=""),0,IFERROR(INDEX(#REF!,MATCH(AV135,#REF!,0))*AW135,0))</f>
        <v>0</v>
      </c>
      <c r="AY135" s="7"/>
      <c r="AZ135" s="77"/>
      <c r="BA135" s="99">
        <f>IF(OR(AY135="",AZ135=""),0,IFERROR(INDEX(#REF!,MATCH(AY135,#REF!,0))*AZ135,0))</f>
        <v>0</v>
      </c>
      <c r="BB135" s="100">
        <f t="shared" si="25"/>
        <v>0</v>
      </c>
      <c r="BC135" s="110" t="str">
        <f t="shared" si="26"/>
        <v/>
      </c>
      <c r="BD135" s="62"/>
    </row>
    <row r="136" spans="1:56" ht="19.5" customHeight="1" x14ac:dyDescent="0.45">
      <c r="A136" s="104" t="str">
        <f t="shared" si="18"/>
        <v/>
      </c>
      <c r="B136" s="5"/>
      <c r="C136" s="109"/>
      <c r="D136" s="107"/>
      <c r="E136" s="6"/>
      <c r="F136" s="85"/>
      <c r="G136" s="85"/>
      <c r="H136" s="104" t="str">
        <f t="shared" si="19"/>
        <v/>
      </c>
      <c r="I136" s="103" t="str">
        <f>IFERROR(INDEX(#REF!,MATCH(E136,#REF!,0)),"")</f>
        <v/>
      </c>
      <c r="J136" s="6"/>
      <c r="K136" s="103" t="str">
        <f t="shared" si="20"/>
        <v/>
      </c>
      <c r="L136" s="8"/>
      <c r="M136" s="102" t="str">
        <f t="shared" si="21"/>
        <v/>
      </c>
      <c r="N136" s="9"/>
      <c r="O136" s="103" t="str">
        <f t="shared" si="22"/>
        <v/>
      </c>
      <c r="P136" s="6"/>
      <c r="Q136" s="7"/>
      <c r="R136" s="10"/>
      <c r="S136" s="29" t="str">
        <f t="shared" ca="1" si="23"/>
        <v/>
      </c>
      <c r="T136" s="7"/>
      <c r="U136" s="74"/>
      <c r="V136" s="101">
        <f>IF(OR(T136="",U136=""),0,IFERROR(INDEX(#REF!,MATCH(T136,#REF!,0))*U136,0))</f>
        <v>0</v>
      </c>
      <c r="W136" s="7"/>
      <c r="X136" s="74"/>
      <c r="Y136" s="101">
        <f>IF(OR(W136="",X136=""),0,IFERROR(INDEX(#REF!,MATCH(W136,#REF!,0))*X136,0))</f>
        <v>0</v>
      </c>
      <c r="Z136" s="7"/>
      <c r="AA136" s="74"/>
      <c r="AB136" s="101">
        <f>IF(OR(Z136="",AA136=""),0,IFERROR(INDEX(#REF!,MATCH(Z136,#REF!,0))*AA136,0))</f>
        <v>0</v>
      </c>
      <c r="AC136" s="7"/>
      <c r="AD136" s="74"/>
      <c r="AE136" s="101">
        <f>IF(OR(AC136="",AD136=""),0,IFERROR(INDEX(#REF!,MATCH(AC136,#REF!,0))*AD136,0))</f>
        <v>0</v>
      </c>
      <c r="AF136" s="7"/>
      <c r="AG136" s="74"/>
      <c r="AH136" s="101">
        <f>IF(OR(AF136="",AG136=""),0,IFERROR(INDEX(#REF!,MATCH(AF136,#REF!,0))*AG136,0))</f>
        <v>0</v>
      </c>
      <c r="AI136" s="7"/>
      <c r="AJ136" s="74"/>
      <c r="AK136" s="101">
        <f>IF(OR(AI136="",AJ136=""),0,IFERROR(INDEX(#REF!,MATCH(AI136,#REF!,0))*AJ136,0))</f>
        <v>0</v>
      </c>
      <c r="AL136" s="101">
        <f t="shared" si="24"/>
        <v>0</v>
      </c>
      <c r="AM136" s="7"/>
      <c r="AN136" s="72"/>
      <c r="AO136" s="99">
        <f>IF(OR(AM136="",AN136=""),0,IFERROR(INDEX(#REF!,MATCH(AM136,#REF!,0))*AN136,0))</f>
        <v>0</v>
      </c>
      <c r="AP136" s="7"/>
      <c r="AQ136" s="74"/>
      <c r="AR136" s="99">
        <f>IF(OR(AP136="",AQ136=""),0,IFERROR(INDEX(#REF!,MATCH(AP136,#REF!,0))*AQ136,0))</f>
        <v>0</v>
      </c>
      <c r="AS136" s="7"/>
      <c r="AT136" s="74"/>
      <c r="AU136" s="99">
        <f>IF(OR(AS136="",AT136=""),0,IFERROR(INDEX(#REF!,MATCH(AS136,#REF!,0))*AT136,0))</f>
        <v>0</v>
      </c>
      <c r="AV136" s="7"/>
      <c r="AW136" s="74"/>
      <c r="AX136" s="99">
        <f>IF(OR(AV136="",AW136=""),0,IFERROR(INDEX(#REF!,MATCH(AV136,#REF!,0))*AW136,0))</f>
        <v>0</v>
      </c>
      <c r="AY136" s="7"/>
      <c r="AZ136" s="77"/>
      <c r="BA136" s="99">
        <f>IF(OR(AY136="",AZ136=""),0,IFERROR(INDEX(#REF!,MATCH(AY136,#REF!,0))*AZ136,0))</f>
        <v>0</v>
      </c>
      <c r="BB136" s="100">
        <f t="shared" si="25"/>
        <v>0</v>
      </c>
      <c r="BC136" s="110" t="str">
        <f t="shared" si="26"/>
        <v/>
      </c>
      <c r="BD136" s="62"/>
    </row>
    <row r="137" spans="1:56" ht="19.5" customHeight="1" x14ac:dyDescent="0.45">
      <c r="A137" s="104" t="str">
        <f t="shared" si="18"/>
        <v/>
      </c>
      <c r="B137" s="5"/>
      <c r="C137" s="109"/>
      <c r="D137" s="107"/>
      <c r="E137" s="6"/>
      <c r="F137" s="85"/>
      <c r="G137" s="85"/>
      <c r="H137" s="104" t="str">
        <f t="shared" si="19"/>
        <v/>
      </c>
      <c r="I137" s="103" t="str">
        <f>IFERROR(INDEX(#REF!,MATCH(E137,#REF!,0)),"")</f>
        <v/>
      </c>
      <c r="J137" s="6"/>
      <c r="K137" s="103" t="str">
        <f t="shared" si="20"/>
        <v/>
      </c>
      <c r="L137" s="8"/>
      <c r="M137" s="102" t="str">
        <f t="shared" si="21"/>
        <v/>
      </c>
      <c r="N137" s="9"/>
      <c r="O137" s="103" t="str">
        <f t="shared" si="22"/>
        <v/>
      </c>
      <c r="P137" s="6"/>
      <c r="Q137" s="7"/>
      <c r="R137" s="10"/>
      <c r="S137" s="29" t="str">
        <f t="shared" ca="1" si="23"/>
        <v/>
      </c>
      <c r="T137" s="7"/>
      <c r="U137" s="74"/>
      <c r="V137" s="101">
        <f>IF(OR(T137="",U137=""),0,IFERROR(INDEX(#REF!,MATCH(T137,#REF!,0))*U137,0))</f>
        <v>0</v>
      </c>
      <c r="W137" s="7"/>
      <c r="X137" s="74"/>
      <c r="Y137" s="101">
        <f>IF(OR(W137="",X137=""),0,IFERROR(INDEX(#REF!,MATCH(W137,#REF!,0))*X137,0))</f>
        <v>0</v>
      </c>
      <c r="Z137" s="7"/>
      <c r="AA137" s="74"/>
      <c r="AB137" s="101">
        <f>IF(OR(Z137="",AA137=""),0,IFERROR(INDEX(#REF!,MATCH(Z137,#REF!,0))*AA137,0))</f>
        <v>0</v>
      </c>
      <c r="AC137" s="7"/>
      <c r="AD137" s="74"/>
      <c r="AE137" s="101">
        <f>IF(OR(AC137="",AD137=""),0,IFERROR(INDEX(#REF!,MATCH(AC137,#REF!,0))*AD137,0))</f>
        <v>0</v>
      </c>
      <c r="AF137" s="7"/>
      <c r="AG137" s="74"/>
      <c r="AH137" s="101">
        <f>IF(OR(AF137="",AG137=""),0,IFERROR(INDEX(#REF!,MATCH(AF137,#REF!,0))*AG137,0))</f>
        <v>0</v>
      </c>
      <c r="AI137" s="7"/>
      <c r="AJ137" s="74"/>
      <c r="AK137" s="101">
        <f>IF(OR(AI137="",AJ137=""),0,IFERROR(INDEX(#REF!,MATCH(AI137,#REF!,0))*AJ137,0))</f>
        <v>0</v>
      </c>
      <c r="AL137" s="101">
        <f t="shared" si="24"/>
        <v>0</v>
      </c>
      <c r="AM137" s="7"/>
      <c r="AN137" s="72"/>
      <c r="AO137" s="99">
        <f>IF(OR(AM137="",AN137=""),0,IFERROR(INDEX(#REF!,MATCH(AM137,#REF!,0))*AN137,0))</f>
        <v>0</v>
      </c>
      <c r="AP137" s="7"/>
      <c r="AQ137" s="74"/>
      <c r="AR137" s="99">
        <f>IF(OR(AP137="",AQ137=""),0,IFERROR(INDEX(#REF!,MATCH(AP137,#REF!,0))*AQ137,0))</f>
        <v>0</v>
      </c>
      <c r="AS137" s="7"/>
      <c r="AT137" s="74"/>
      <c r="AU137" s="99">
        <f>IF(OR(AS137="",AT137=""),0,IFERROR(INDEX(#REF!,MATCH(AS137,#REF!,0))*AT137,0))</f>
        <v>0</v>
      </c>
      <c r="AV137" s="7"/>
      <c r="AW137" s="74"/>
      <c r="AX137" s="99">
        <f>IF(OR(AV137="",AW137=""),0,IFERROR(INDEX(#REF!,MATCH(AV137,#REF!,0))*AW137,0))</f>
        <v>0</v>
      </c>
      <c r="AY137" s="7"/>
      <c r="AZ137" s="77"/>
      <c r="BA137" s="99">
        <f>IF(OR(AY137="",AZ137=""),0,IFERROR(INDEX(#REF!,MATCH(AY137,#REF!,0))*AZ137,0))</f>
        <v>0</v>
      </c>
      <c r="BB137" s="100">
        <f t="shared" si="25"/>
        <v>0</v>
      </c>
      <c r="BC137" s="110" t="str">
        <f t="shared" si="26"/>
        <v/>
      </c>
      <c r="BD137" s="62"/>
    </row>
    <row r="138" spans="1:56" ht="19.5" customHeight="1" x14ac:dyDescent="0.45">
      <c r="A138" s="104" t="str">
        <f t="shared" si="18"/>
        <v/>
      </c>
      <c r="B138" s="5"/>
      <c r="C138" s="109"/>
      <c r="D138" s="107"/>
      <c r="E138" s="6"/>
      <c r="F138" s="85"/>
      <c r="G138" s="85"/>
      <c r="H138" s="104" t="str">
        <f t="shared" si="19"/>
        <v/>
      </c>
      <c r="I138" s="103" t="str">
        <f>IFERROR(INDEX(#REF!,MATCH(E138,#REF!,0)),"")</f>
        <v/>
      </c>
      <c r="J138" s="6"/>
      <c r="K138" s="103" t="str">
        <f t="shared" si="20"/>
        <v/>
      </c>
      <c r="L138" s="8"/>
      <c r="M138" s="102" t="str">
        <f t="shared" si="21"/>
        <v/>
      </c>
      <c r="N138" s="9"/>
      <c r="O138" s="103" t="str">
        <f t="shared" si="22"/>
        <v/>
      </c>
      <c r="P138" s="6"/>
      <c r="Q138" s="7"/>
      <c r="R138" s="10"/>
      <c r="S138" s="29" t="str">
        <f t="shared" ca="1" si="23"/>
        <v/>
      </c>
      <c r="T138" s="7"/>
      <c r="U138" s="74"/>
      <c r="V138" s="101">
        <f>IF(OR(T138="",U138=""),0,IFERROR(INDEX(#REF!,MATCH(T138,#REF!,0))*U138,0))</f>
        <v>0</v>
      </c>
      <c r="W138" s="7"/>
      <c r="X138" s="74"/>
      <c r="Y138" s="101">
        <f>IF(OR(W138="",X138=""),0,IFERROR(INDEX(#REF!,MATCH(W138,#REF!,0))*X138,0))</f>
        <v>0</v>
      </c>
      <c r="Z138" s="7"/>
      <c r="AA138" s="74"/>
      <c r="AB138" s="101">
        <f>IF(OR(Z138="",AA138=""),0,IFERROR(INDEX(#REF!,MATCH(Z138,#REF!,0))*AA138,0))</f>
        <v>0</v>
      </c>
      <c r="AC138" s="7"/>
      <c r="AD138" s="74"/>
      <c r="AE138" s="101">
        <f>IF(OR(AC138="",AD138=""),0,IFERROR(INDEX(#REF!,MATCH(AC138,#REF!,0))*AD138,0))</f>
        <v>0</v>
      </c>
      <c r="AF138" s="7"/>
      <c r="AG138" s="74"/>
      <c r="AH138" s="101">
        <f>IF(OR(AF138="",AG138=""),0,IFERROR(INDEX(#REF!,MATCH(AF138,#REF!,0))*AG138,0))</f>
        <v>0</v>
      </c>
      <c r="AI138" s="7"/>
      <c r="AJ138" s="74"/>
      <c r="AK138" s="101">
        <f>IF(OR(AI138="",AJ138=""),0,IFERROR(INDEX(#REF!,MATCH(AI138,#REF!,0))*AJ138,0))</f>
        <v>0</v>
      </c>
      <c r="AL138" s="101">
        <f t="shared" si="24"/>
        <v>0</v>
      </c>
      <c r="AM138" s="7"/>
      <c r="AN138" s="72"/>
      <c r="AO138" s="99">
        <f>IF(OR(AM138="",AN138=""),0,IFERROR(INDEX(#REF!,MATCH(AM138,#REF!,0))*AN138,0))</f>
        <v>0</v>
      </c>
      <c r="AP138" s="7"/>
      <c r="AQ138" s="74"/>
      <c r="AR138" s="99">
        <f>IF(OR(AP138="",AQ138=""),0,IFERROR(INDEX(#REF!,MATCH(AP138,#REF!,0))*AQ138,0))</f>
        <v>0</v>
      </c>
      <c r="AS138" s="7"/>
      <c r="AT138" s="74"/>
      <c r="AU138" s="99">
        <f>IF(OR(AS138="",AT138=""),0,IFERROR(INDEX(#REF!,MATCH(AS138,#REF!,0))*AT138,0))</f>
        <v>0</v>
      </c>
      <c r="AV138" s="7"/>
      <c r="AW138" s="74"/>
      <c r="AX138" s="99">
        <f>IF(OR(AV138="",AW138=""),0,IFERROR(INDEX(#REF!,MATCH(AV138,#REF!,0))*AW138,0))</f>
        <v>0</v>
      </c>
      <c r="AY138" s="7"/>
      <c r="AZ138" s="77"/>
      <c r="BA138" s="99">
        <f>IF(OR(AY138="",AZ138=""),0,IFERROR(INDEX(#REF!,MATCH(AY138,#REF!,0))*AZ138,0))</f>
        <v>0</v>
      </c>
      <c r="BB138" s="100">
        <f t="shared" si="25"/>
        <v>0</v>
      </c>
      <c r="BC138" s="110" t="str">
        <f t="shared" si="26"/>
        <v/>
      </c>
      <c r="BD138" s="62"/>
    </row>
    <row r="139" spans="1:56" ht="19.5" customHeight="1" x14ac:dyDescent="0.45">
      <c r="A139" s="104" t="str">
        <f t="shared" si="18"/>
        <v/>
      </c>
      <c r="B139" s="5"/>
      <c r="C139" s="109"/>
      <c r="D139" s="107"/>
      <c r="E139" s="6"/>
      <c r="F139" s="85"/>
      <c r="G139" s="85"/>
      <c r="H139" s="104" t="str">
        <f t="shared" si="19"/>
        <v/>
      </c>
      <c r="I139" s="103" t="str">
        <f>IFERROR(INDEX(#REF!,MATCH(E139,#REF!,0)),"")</f>
        <v/>
      </c>
      <c r="J139" s="6"/>
      <c r="K139" s="103" t="str">
        <f t="shared" si="20"/>
        <v/>
      </c>
      <c r="L139" s="8"/>
      <c r="M139" s="102" t="str">
        <f t="shared" si="21"/>
        <v/>
      </c>
      <c r="N139" s="9"/>
      <c r="O139" s="103" t="str">
        <f t="shared" si="22"/>
        <v/>
      </c>
      <c r="P139" s="6"/>
      <c r="Q139" s="7"/>
      <c r="R139" s="10"/>
      <c r="S139" s="29" t="str">
        <f t="shared" ca="1" si="23"/>
        <v/>
      </c>
      <c r="T139" s="7"/>
      <c r="U139" s="74"/>
      <c r="V139" s="101">
        <f>IF(OR(T139="",U139=""),0,IFERROR(INDEX(#REF!,MATCH(T139,#REF!,0))*U139,0))</f>
        <v>0</v>
      </c>
      <c r="W139" s="7"/>
      <c r="X139" s="74"/>
      <c r="Y139" s="101">
        <f>IF(OR(W139="",X139=""),0,IFERROR(INDEX(#REF!,MATCH(W139,#REF!,0))*X139,0))</f>
        <v>0</v>
      </c>
      <c r="Z139" s="7"/>
      <c r="AA139" s="74"/>
      <c r="AB139" s="101">
        <f>IF(OR(Z139="",AA139=""),0,IFERROR(INDEX(#REF!,MATCH(Z139,#REF!,0))*AA139,0))</f>
        <v>0</v>
      </c>
      <c r="AC139" s="7"/>
      <c r="AD139" s="74"/>
      <c r="AE139" s="101">
        <f>IF(OR(AC139="",AD139=""),0,IFERROR(INDEX(#REF!,MATCH(AC139,#REF!,0))*AD139,0))</f>
        <v>0</v>
      </c>
      <c r="AF139" s="7"/>
      <c r="AG139" s="74"/>
      <c r="AH139" s="101">
        <f>IF(OR(AF139="",AG139=""),0,IFERROR(INDEX(#REF!,MATCH(AF139,#REF!,0))*AG139,0))</f>
        <v>0</v>
      </c>
      <c r="AI139" s="7"/>
      <c r="AJ139" s="74"/>
      <c r="AK139" s="101">
        <f>IF(OR(AI139="",AJ139=""),0,IFERROR(INDEX(#REF!,MATCH(AI139,#REF!,0))*AJ139,0))</f>
        <v>0</v>
      </c>
      <c r="AL139" s="101">
        <f t="shared" si="24"/>
        <v>0</v>
      </c>
      <c r="AM139" s="7"/>
      <c r="AN139" s="72"/>
      <c r="AO139" s="99">
        <f>IF(OR(AM139="",AN139=""),0,IFERROR(INDEX(#REF!,MATCH(AM139,#REF!,0))*AN139,0))</f>
        <v>0</v>
      </c>
      <c r="AP139" s="7"/>
      <c r="AQ139" s="74"/>
      <c r="AR139" s="99">
        <f>IF(OR(AP139="",AQ139=""),0,IFERROR(INDEX(#REF!,MATCH(AP139,#REF!,0))*AQ139,0))</f>
        <v>0</v>
      </c>
      <c r="AS139" s="7"/>
      <c r="AT139" s="74"/>
      <c r="AU139" s="99">
        <f>IF(OR(AS139="",AT139=""),0,IFERROR(INDEX(#REF!,MATCH(AS139,#REF!,0))*AT139,0))</f>
        <v>0</v>
      </c>
      <c r="AV139" s="7"/>
      <c r="AW139" s="74"/>
      <c r="AX139" s="99">
        <f>IF(OR(AV139="",AW139=""),0,IFERROR(INDEX(#REF!,MATCH(AV139,#REF!,0))*AW139,0))</f>
        <v>0</v>
      </c>
      <c r="AY139" s="7"/>
      <c r="AZ139" s="77"/>
      <c r="BA139" s="99">
        <f>IF(OR(AY139="",AZ139=""),0,IFERROR(INDEX(#REF!,MATCH(AY139,#REF!,0))*AZ139,0))</f>
        <v>0</v>
      </c>
      <c r="BB139" s="100">
        <f t="shared" si="25"/>
        <v>0</v>
      </c>
      <c r="BC139" s="110" t="str">
        <f t="shared" si="26"/>
        <v/>
      </c>
      <c r="BD139" s="62"/>
    </row>
    <row r="140" spans="1:56" ht="19.5" customHeight="1" x14ac:dyDescent="0.45">
      <c r="A140" s="104" t="str">
        <f t="shared" si="18"/>
        <v/>
      </c>
      <c r="B140" s="5"/>
      <c r="C140" s="109"/>
      <c r="D140" s="107"/>
      <c r="E140" s="6"/>
      <c r="F140" s="85"/>
      <c r="G140" s="85"/>
      <c r="H140" s="104" t="str">
        <f t="shared" si="19"/>
        <v/>
      </c>
      <c r="I140" s="103" t="str">
        <f>IFERROR(INDEX(#REF!,MATCH(E140,#REF!,0)),"")</f>
        <v/>
      </c>
      <c r="J140" s="6"/>
      <c r="K140" s="103" t="str">
        <f t="shared" si="20"/>
        <v/>
      </c>
      <c r="L140" s="8"/>
      <c r="M140" s="102" t="str">
        <f t="shared" si="21"/>
        <v/>
      </c>
      <c r="N140" s="9"/>
      <c r="O140" s="103" t="str">
        <f t="shared" si="22"/>
        <v/>
      </c>
      <c r="P140" s="6"/>
      <c r="Q140" s="7"/>
      <c r="R140" s="10"/>
      <c r="S140" s="29" t="str">
        <f t="shared" ca="1" si="23"/>
        <v/>
      </c>
      <c r="T140" s="7"/>
      <c r="U140" s="74"/>
      <c r="V140" s="101">
        <f>IF(OR(T140="",U140=""),0,IFERROR(INDEX(#REF!,MATCH(T140,#REF!,0))*U140,0))</f>
        <v>0</v>
      </c>
      <c r="W140" s="7"/>
      <c r="X140" s="74"/>
      <c r="Y140" s="101">
        <f>IF(OR(W140="",X140=""),0,IFERROR(INDEX(#REF!,MATCH(W140,#REF!,0))*X140,0))</f>
        <v>0</v>
      </c>
      <c r="Z140" s="7"/>
      <c r="AA140" s="74"/>
      <c r="AB140" s="101">
        <f>IF(OR(Z140="",AA140=""),0,IFERROR(INDEX(#REF!,MATCH(Z140,#REF!,0))*AA140,0))</f>
        <v>0</v>
      </c>
      <c r="AC140" s="7"/>
      <c r="AD140" s="74"/>
      <c r="AE140" s="101">
        <f>IF(OR(AC140="",AD140=""),0,IFERROR(INDEX(#REF!,MATCH(AC140,#REF!,0))*AD140,0))</f>
        <v>0</v>
      </c>
      <c r="AF140" s="7"/>
      <c r="AG140" s="74"/>
      <c r="AH140" s="101">
        <f>IF(OR(AF140="",AG140=""),0,IFERROR(INDEX(#REF!,MATCH(AF140,#REF!,0))*AG140,0))</f>
        <v>0</v>
      </c>
      <c r="AI140" s="7"/>
      <c r="AJ140" s="74"/>
      <c r="AK140" s="101">
        <f>IF(OR(AI140="",AJ140=""),0,IFERROR(INDEX(#REF!,MATCH(AI140,#REF!,0))*AJ140,0))</f>
        <v>0</v>
      </c>
      <c r="AL140" s="101">
        <f t="shared" si="24"/>
        <v>0</v>
      </c>
      <c r="AM140" s="7"/>
      <c r="AN140" s="72"/>
      <c r="AO140" s="99">
        <f>IF(OR(AM140="",AN140=""),0,IFERROR(INDEX(#REF!,MATCH(AM140,#REF!,0))*AN140,0))</f>
        <v>0</v>
      </c>
      <c r="AP140" s="7"/>
      <c r="AQ140" s="74"/>
      <c r="AR140" s="99">
        <f>IF(OR(AP140="",AQ140=""),0,IFERROR(INDEX(#REF!,MATCH(AP140,#REF!,0))*AQ140,0))</f>
        <v>0</v>
      </c>
      <c r="AS140" s="7"/>
      <c r="AT140" s="74"/>
      <c r="AU140" s="99">
        <f>IF(OR(AS140="",AT140=""),0,IFERROR(INDEX(#REF!,MATCH(AS140,#REF!,0))*AT140,0))</f>
        <v>0</v>
      </c>
      <c r="AV140" s="7"/>
      <c r="AW140" s="74"/>
      <c r="AX140" s="99">
        <f>IF(OR(AV140="",AW140=""),0,IFERROR(INDEX(#REF!,MATCH(AV140,#REF!,0))*AW140,0))</f>
        <v>0</v>
      </c>
      <c r="AY140" s="7"/>
      <c r="AZ140" s="77"/>
      <c r="BA140" s="99">
        <f>IF(OR(AY140="",AZ140=""),0,IFERROR(INDEX(#REF!,MATCH(AY140,#REF!,0))*AZ140,0))</f>
        <v>0</v>
      </c>
      <c r="BB140" s="100">
        <f t="shared" si="25"/>
        <v>0</v>
      </c>
      <c r="BC140" s="110" t="str">
        <f t="shared" si="26"/>
        <v/>
      </c>
      <c r="BD140" s="62"/>
    </row>
    <row r="141" spans="1:56" ht="19.5" customHeight="1" x14ac:dyDescent="0.45">
      <c r="A141" s="104" t="str">
        <f t="shared" si="18"/>
        <v/>
      </c>
      <c r="B141" s="5"/>
      <c r="C141" s="109"/>
      <c r="D141" s="107"/>
      <c r="E141" s="6"/>
      <c r="F141" s="85"/>
      <c r="G141" s="85"/>
      <c r="H141" s="104" t="str">
        <f t="shared" si="19"/>
        <v/>
      </c>
      <c r="I141" s="103" t="str">
        <f>IFERROR(INDEX(#REF!,MATCH(E141,#REF!,0)),"")</f>
        <v/>
      </c>
      <c r="J141" s="6"/>
      <c r="K141" s="103" t="str">
        <f t="shared" si="20"/>
        <v/>
      </c>
      <c r="L141" s="8"/>
      <c r="M141" s="102" t="str">
        <f t="shared" si="21"/>
        <v/>
      </c>
      <c r="N141" s="9"/>
      <c r="O141" s="103" t="str">
        <f t="shared" si="22"/>
        <v/>
      </c>
      <c r="P141" s="6"/>
      <c r="Q141" s="7"/>
      <c r="R141" s="10"/>
      <c r="S141" s="29" t="str">
        <f t="shared" ca="1" si="23"/>
        <v/>
      </c>
      <c r="T141" s="7"/>
      <c r="U141" s="74"/>
      <c r="V141" s="101">
        <f>IF(OR(T141="",U141=""),0,IFERROR(INDEX(#REF!,MATCH(T141,#REF!,0))*U141,0))</f>
        <v>0</v>
      </c>
      <c r="W141" s="7"/>
      <c r="X141" s="74"/>
      <c r="Y141" s="101">
        <f>IF(OR(W141="",X141=""),0,IFERROR(INDEX(#REF!,MATCH(W141,#REF!,0))*X141,0))</f>
        <v>0</v>
      </c>
      <c r="Z141" s="7"/>
      <c r="AA141" s="74"/>
      <c r="AB141" s="101">
        <f>IF(OR(Z141="",AA141=""),0,IFERROR(INDEX(#REF!,MATCH(Z141,#REF!,0))*AA141,0))</f>
        <v>0</v>
      </c>
      <c r="AC141" s="7"/>
      <c r="AD141" s="74"/>
      <c r="AE141" s="101">
        <f>IF(OR(AC141="",AD141=""),0,IFERROR(INDEX(#REF!,MATCH(AC141,#REF!,0))*AD141,0))</f>
        <v>0</v>
      </c>
      <c r="AF141" s="7"/>
      <c r="AG141" s="74"/>
      <c r="AH141" s="101">
        <f>IF(OR(AF141="",AG141=""),0,IFERROR(INDEX(#REF!,MATCH(AF141,#REF!,0))*AG141,0))</f>
        <v>0</v>
      </c>
      <c r="AI141" s="7"/>
      <c r="AJ141" s="74"/>
      <c r="AK141" s="101">
        <f>IF(OR(AI141="",AJ141=""),0,IFERROR(INDEX(#REF!,MATCH(AI141,#REF!,0))*AJ141,0))</f>
        <v>0</v>
      </c>
      <c r="AL141" s="101">
        <f t="shared" si="24"/>
        <v>0</v>
      </c>
      <c r="AM141" s="7"/>
      <c r="AN141" s="72"/>
      <c r="AO141" s="99">
        <f>IF(OR(AM141="",AN141=""),0,IFERROR(INDEX(#REF!,MATCH(AM141,#REF!,0))*AN141,0))</f>
        <v>0</v>
      </c>
      <c r="AP141" s="7"/>
      <c r="AQ141" s="74"/>
      <c r="AR141" s="99">
        <f>IF(OR(AP141="",AQ141=""),0,IFERROR(INDEX(#REF!,MATCH(AP141,#REF!,0))*AQ141,0))</f>
        <v>0</v>
      </c>
      <c r="AS141" s="7"/>
      <c r="AT141" s="74"/>
      <c r="AU141" s="99">
        <f>IF(OR(AS141="",AT141=""),0,IFERROR(INDEX(#REF!,MATCH(AS141,#REF!,0))*AT141,0))</f>
        <v>0</v>
      </c>
      <c r="AV141" s="7"/>
      <c r="AW141" s="74"/>
      <c r="AX141" s="99">
        <f>IF(OR(AV141="",AW141=""),0,IFERROR(INDEX(#REF!,MATCH(AV141,#REF!,0))*AW141,0))</f>
        <v>0</v>
      </c>
      <c r="AY141" s="7"/>
      <c r="AZ141" s="77"/>
      <c r="BA141" s="99">
        <f>IF(OR(AY141="",AZ141=""),0,IFERROR(INDEX(#REF!,MATCH(AY141,#REF!,0))*AZ141,0))</f>
        <v>0</v>
      </c>
      <c r="BB141" s="100">
        <f t="shared" si="25"/>
        <v>0</v>
      </c>
      <c r="BC141" s="110" t="str">
        <f t="shared" si="26"/>
        <v/>
      </c>
      <c r="BD141" s="62"/>
    </row>
    <row r="142" spans="1:56" ht="19.5" customHeight="1" x14ac:dyDescent="0.45">
      <c r="A142" s="104" t="str">
        <f t="shared" si="18"/>
        <v/>
      </c>
      <c r="B142" s="5"/>
      <c r="C142" s="109"/>
      <c r="D142" s="107"/>
      <c r="E142" s="6"/>
      <c r="F142" s="85"/>
      <c r="G142" s="85"/>
      <c r="H142" s="104" t="str">
        <f t="shared" si="19"/>
        <v/>
      </c>
      <c r="I142" s="103" t="str">
        <f>IFERROR(INDEX(#REF!,MATCH(E142,#REF!,0)),"")</f>
        <v/>
      </c>
      <c r="J142" s="6"/>
      <c r="K142" s="103" t="str">
        <f t="shared" si="20"/>
        <v/>
      </c>
      <c r="L142" s="8"/>
      <c r="M142" s="102" t="str">
        <f t="shared" si="21"/>
        <v/>
      </c>
      <c r="N142" s="9"/>
      <c r="O142" s="103" t="str">
        <f t="shared" si="22"/>
        <v/>
      </c>
      <c r="P142" s="6"/>
      <c r="Q142" s="7"/>
      <c r="R142" s="10"/>
      <c r="S142" s="29" t="str">
        <f t="shared" ca="1" si="23"/>
        <v/>
      </c>
      <c r="T142" s="7"/>
      <c r="U142" s="74"/>
      <c r="V142" s="101">
        <f>IF(OR(T142="",U142=""),0,IFERROR(INDEX(#REF!,MATCH(T142,#REF!,0))*U142,0))</f>
        <v>0</v>
      </c>
      <c r="W142" s="7"/>
      <c r="X142" s="74"/>
      <c r="Y142" s="101">
        <f>IF(OR(W142="",X142=""),0,IFERROR(INDEX(#REF!,MATCH(W142,#REF!,0))*X142,0))</f>
        <v>0</v>
      </c>
      <c r="Z142" s="7"/>
      <c r="AA142" s="74"/>
      <c r="AB142" s="101">
        <f>IF(OR(Z142="",AA142=""),0,IFERROR(INDEX(#REF!,MATCH(Z142,#REF!,0))*AA142,0))</f>
        <v>0</v>
      </c>
      <c r="AC142" s="7"/>
      <c r="AD142" s="74"/>
      <c r="AE142" s="101">
        <f>IF(OR(AC142="",AD142=""),0,IFERROR(INDEX(#REF!,MATCH(AC142,#REF!,0))*AD142,0))</f>
        <v>0</v>
      </c>
      <c r="AF142" s="7"/>
      <c r="AG142" s="74"/>
      <c r="AH142" s="101">
        <f>IF(OR(AF142="",AG142=""),0,IFERROR(INDEX(#REF!,MATCH(AF142,#REF!,0))*AG142,0))</f>
        <v>0</v>
      </c>
      <c r="AI142" s="7"/>
      <c r="AJ142" s="74"/>
      <c r="AK142" s="101">
        <f>IF(OR(AI142="",AJ142=""),0,IFERROR(INDEX(#REF!,MATCH(AI142,#REF!,0))*AJ142,0))</f>
        <v>0</v>
      </c>
      <c r="AL142" s="101">
        <f t="shared" si="24"/>
        <v>0</v>
      </c>
      <c r="AM142" s="7"/>
      <c r="AN142" s="72"/>
      <c r="AO142" s="99">
        <f>IF(OR(AM142="",AN142=""),0,IFERROR(INDEX(#REF!,MATCH(AM142,#REF!,0))*AN142,0))</f>
        <v>0</v>
      </c>
      <c r="AP142" s="7"/>
      <c r="AQ142" s="74"/>
      <c r="AR142" s="99">
        <f>IF(OR(AP142="",AQ142=""),0,IFERROR(INDEX(#REF!,MATCH(AP142,#REF!,0))*AQ142,0))</f>
        <v>0</v>
      </c>
      <c r="AS142" s="7"/>
      <c r="AT142" s="74"/>
      <c r="AU142" s="99">
        <f>IF(OR(AS142="",AT142=""),0,IFERROR(INDEX(#REF!,MATCH(AS142,#REF!,0))*AT142,0))</f>
        <v>0</v>
      </c>
      <c r="AV142" s="7"/>
      <c r="AW142" s="74"/>
      <c r="AX142" s="99">
        <f>IF(OR(AV142="",AW142=""),0,IFERROR(INDEX(#REF!,MATCH(AV142,#REF!,0))*AW142,0))</f>
        <v>0</v>
      </c>
      <c r="AY142" s="7"/>
      <c r="AZ142" s="77"/>
      <c r="BA142" s="99">
        <f>IF(OR(AY142="",AZ142=""),0,IFERROR(INDEX(#REF!,MATCH(AY142,#REF!,0))*AZ142,0))</f>
        <v>0</v>
      </c>
      <c r="BB142" s="100">
        <f t="shared" si="25"/>
        <v>0</v>
      </c>
      <c r="BC142" s="110" t="str">
        <f t="shared" si="26"/>
        <v/>
      </c>
      <c r="BD142" s="62"/>
    </row>
    <row r="143" spans="1:56" ht="19.5" customHeight="1" x14ac:dyDescent="0.45">
      <c r="A143" s="104" t="str">
        <f t="shared" si="18"/>
        <v/>
      </c>
      <c r="B143" s="5"/>
      <c r="C143" s="109"/>
      <c r="D143" s="107"/>
      <c r="E143" s="6"/>
      <c r="F143" s="85"/>
      <c r="G143" s="85"/>
      <c r="H143" s="104" t="str">
        <f t="shared" si="19"/>
        <v/>
      </c>
      <c r="I143" s="103" t="str">
        <f>IFERROR(INDEX(#REF!,MATCH(E143,#REF!,0)),"")</f>
        <v/>
      </c>
      <c r="J143" s="6"/>
      <c r="K143" s="103" t="str">
        <f t="shared" si="20"/>
        <v/>
      </c>
      <c r="L143" s="8"/>
      <c r="M143" s="102" t="str">
        <f t="shared" si="21"/>
        <v/>
      </c>
      <c r="N143" s="9"/>
      <c r="O143" s="103" t="str">
        <f t="shared" si="22"/>
        <v/>
      </c>
      <c r="P143" s="6"/>
      <c r="Q143" s="7"/>
      <c r="R143" s="10"/>
      <c r="S143" s="29" t="str">
        <f t="shared" ca="1" si="23"/>
        <v/>
      </c>
      <c r="T143" s="7"/>
      <c r="U143" s="74"/>
      <c r="V143" s="101">
        <f>IF(OR(T143="",U143=""),0,IFERROR(INDEX(#REF!,MATCH(T143,#REF!,0))*U143,0))</f>
        <v>0</v>
      </c>
      <c r="W143" s="7"/>
      <c r="X143" s="74"/>
      <c r="Y143" s="101">
        <f>IF(OR(W143="",X143=""),0,IFERROR(INDEX(#REF!,MATCH(W143,#REF!,0))*X143,0))</f>
        <v>0</v>
      </c>
      <c r="Z143" s="7"/>
      <c r="AA143" s="74"/>
      <c r="AB143" s="101">
        <f>IF(OR(Z143="",AA143=""),0,IFERROR(INDEX(#REF!,MATCH(Z143,#REF!,0))*AA143,0))</f>
        <v>0</v>
      </c>
      <c r="AC143" s="7"/>
      <c r="AD143" s="74"/>
      <c r="AE143" s="101">
        <f>IF(OR(AC143="",AD143=""),0,IFERROR(INDEX(#REF!,MATCH(AC143,#REF!,0))*AD143,0))</f>
        <v>0</v>
      </c>
      <c r="AF143" s="7"/>
      <c r="AG143" s="74"/>
      <c r="AH143" s="101">
        <f>IF(OR(AF143="",AG143=""),0,IFERROR(INDEX(#REF!,MATCH(AF143,#REF!,0))*AG143,0))</f>
        <v>0</v>
      </c>
      <c r="AI143" s="7"/>
      <c r="AJ143" s="74"/>
      <c r="AK143" s="101">
        <f>IF(OR(AI143="",AJ143=""),0,IFERROR(INDEX(#REF!,MATCH(AI143,#REF!,0))*AJ143,0))</f>
        <v>0</v>
      </c>
      <c r="AL143" s="101">
        <f t="shared" si="24"/>
        <v>0</v>
      </c>
      <c r="AM143" s="7"/>
      <c r="AN143" s="72"/>
      <c r="AO143" s="99">
        <f>IF(OR(AM143="",AN143=""),0,IFERROR(INDEX(#REF!,MATCH(AM143,#REF!,0))*AN143,0))</f>
        <v>0</v>
      </c>
      <c r="AP143" s="7"/>
      <c r="AQ143" s="74"/>
      <c r="AR143" s="99">
        <f>IF(OR(AP143="",AQ143=""),0,IFERROR(INDEX(#REF!,MATCH(AP143,#REF!,0))*AQ143,0))</f>
        <v>0</v>
      </c>
      <c r="AS143" s="7"/>
      <c r="AT143" s="74"/>
      <c r="AU143" s="99">
        <f>IF(OR(AS143="",AT143=""),0,IFERROR(INDEX(#REF!,MATCH(AS143,#REF!,0))*AT143,0))</f>
        <v>0</v>
      </c>
      <c r="AV143" s="7"/>
      <c r="AW143" s="74"/>
      <c r="AX143" s="99">
        <f>IF(OR(AV143="",AW143=""),0,IFERROR(INDEX(#REF!,MATCH(AV143,#REF!,0))*AW143,0))</f>
        <v>0</v>
      </c>
      <c r="AY143" s="7"/>
      <c r="AZ143" s="77"/>
      <c r="BA143" s="99">
        <f>IF(OR(AY143="",AZ143=""),0,IFERROR(INDEX(#REF!,MATCH(AY143,#REF!,0))*AZ143,0))</f>
        <v>0</v>
      </c>
      <c r="BB143" s="100">
        <f t="shared" si="25"/>
        <v>0</v>
      </c>
      <c r="BC143" s="110" t="str">
        <f t="shared" si="26"/>
        <v/>
      </c>
      <c r="BD143" s="62"/>
    </row>
    <row r="144" spans="1:56" ht="19.5" customHeight="1" x14ac:dyDescent="0.45">
      <c r="A144" s="104" t="str">
        <f t="shared" si="18"/>
        <v/>
      </c>
      <c r="B144" s="5"/>
      <c r="C144" s="109"/>
      <c r="D144" s="107"/>
      <c r="E144" s="6"/>
      <c r="F144" s="85"/>
      <c r="G144" s="85"/>
      <c r="H144" s="104" t="str">
        <f t="shared" si="19"/>
        <v/>
      </c>
      <c r="I144" s="103" t="str">
        <f>IFERROR(INDEX(#REF!,MATCH(E144,#REF!,0)),"")</f>
        <v/>
      </c>
      <c r="J144" s="6"/>
      <c r="K144" s="103" t="str">
        <f t="shared" si="20"/>
        <v/>
      </c>
      <c r="L144" s="8"/>
      <c r="M144" s="102" t="str">
        <f t="shared" si="21"/>
        <v/>
      </c>
      <c r="N144" s="9"/>
      <c r="O144" s="103" t="str">
        <f t="shared" si="22"/>
        <v/>
      </c>
      <c r="P144" s="6"/>
      <c r="Q144" s="7"/>
      <c r="R144" s="10"/>
      <c r="S144" s="29" t="str">
        <f t="shared" ca="1" si="23"/>
        <v/>
      </c>
      <c r="T144" s="7"/>
      <c r="U144" s="74"/>
      <c r="V144" s="101">
        <f>IF(OR(T144="",U144=""),0,IFERROR(INDEX(#REF!,MATCH(T144,#REF!,0))*U144,0))</f>
        <v>0</v>
      </c>
      <c r="W144" s="7"/>
      <c r="X144" s="74"/>
      <c r="Y144" s="101">
        <f>IF(OR(W144="",X144=""),0,IFERROR(INDEX(#REF!,MATCH(W144,#REF!,0))*X144,0))</f>
        <v>0</v>
      </c>
      <c r="Z144" s="7"/>
      <c r="AA144" s="74"/>
      <c r="AB144" s="101">
        <f>IF(OR(Z144="",AA144=""),0,IFERROR(INDEX(#REF!,MATCH(Z144,#REF!,0))*AA144,0))</f>
        <v>0</v>
      </c>
      <c r="AC144" s="7"/>
      <c r="AD144" s="74"/>
      <c r="AE144" s="101">
        <f>IF(OR(AC144="",AD144=""),0,IFERROR(INDEX(#REF!,MATCH(AC144,#REF!,0))*AD144,0))</f>
        <v>0</v>
      </c>
      <c r="AF144" s="7"/>
      <c r="AG144" s="74"/>
      <c r="AH144" s="101">
        <f>IF(OR(AF144="",AG144=""),0,IFERROR(INDEX(#REF!,MATCH(AF144,#REF!,0))*AG144,0))</f>
        <v>0</v>
      </c>
      <c r="AI144" s="7"/>
      <c r="AJ144" s="74"/>
      <c r="AK144" s="101">
        <f>IF(OR(AI144="",AJ144=""),0,IFERROR(INDEX(#REF!,MATCH(AI144,#REF!,0))*AJ144,0))</f>
        <v>0</v>
      </c>
      <c r="AL144" s="101">
        <f t="shared" si="24"/>
        <v>0</v>
      </c>
      <c r="AM144" s="7"/>
      <c r="AN144" s="72"/>
      <c r="AO144" s="99">
        <f>IF(OR(AM144="",AN144=""),0,IFERROR(INDEX(#REF!,MATCH(AM144,#REF!,0))*AN144,0))</f>
        <v>0</v>
      </c>
      <c r="AP144" s="7"/>
      <c r="AQ144" s="74"/>
      <c r="AR144" s="99">
        <f>IF(OR(AP144="",AQ144=""),0,IFERROR(INDEX(#REF!,MATCH(AP144,#REF!,0))*AQ144,0))</f>
        <v>0</v>
      </c>
      <c r="AS144" s="7"/>
      <c r="AT144" s="74"/>
      <c r="AU144" s="99">
        <f>IF(OR(AS144="",AT144=""),0,IFERROR(INDEX(#REF!,MATCH(AS144,#REF!,0))*AT144,0))</f>
        <v>0</v>
      </c>
      <c r="AV144" s="7"/>
      <c r="AW144" s="74"/>
      <c r="AX144" s="99">
        <f>IF(OR(AV144="",AW144=""),0,IFERROR(INDEX(#REF!,MATCH(AV144,#REF!,0))*AW144,0))</f>
        <v>0</v>
      </c>
      <c r="AY144" s="7"/>
      <c r="AZ144" s="77"/>
      <c r="BA144" s="99">
        <f>IF(OR(AY144="",AZ144=""),0,IFERROR(INDEX(#REF!,MATCH(AY144,#REF!,0))*AZ144,0))</f>
        <v>0</v>
      </c>
      <c r="BB144" s="100">
        <f t="shared" si="25"/>
        <v>0</v>
      </c>
      <c r="BC144" s="110" t="str">
        <f t="shared" si="26"/>
        <v/>
      </c>
      <c r="BD144" s="62"/>
    </row>
    <row r="145" spans="1:56" ht="19.5" customHeight="1" x14ac:dyDescent="0.45">
      <c r="A145" s="104" t="str">
        <f t="shared" si="18"/>
        <v/>
      </c>
      <c r="B145" s="5"/>
      <c r="C145" s="109"/>
      <c r="D145" s="107"/>
      <c r="E145" s="6"/>
      <c r="F145" s="85"/>
      <c r="G145" s="85"/>
      <c r="H145" s="104" t="str">
        <f t="shared" si="19"/>
        <v/>
      </c>
      <c r="I145" s="103" t="str">
        <f>IFERROR(INDEX(#REF!,MATCH(E145,#REF!,0)),"")</f>
        <v/>
      </c>
      <c r="J145" s="6"/>
      <c r="K145" s="103" t="str">
        <f t="shared" si="20"/>
        <v/>
      </c>
      <c r="L145" s="8"/>
      <c r="M145" s="102" t="str">
        <f t="shared" si="21"/>
        <v/>
      </c>
      <c r="N145" s="9"/>
      <c r="O145" s="103" t="str">
        <f t="shared" si="22"/>
        <v/>
      </c>
      <c r="P145" s="6"/>
      <c r="Q145" s="7"/>
      <c r="R145" s="10"/>
      <c r="S145" s="29" t="str">
        <f t="shared" ca="1" si="23"/>
        <v/>
      </c>
      <c r="T145" s="7"/>
      <c r="U145" s="74"/>
      <c r="V145" s="101">
        <f>IF(OR(T145="",U145=""),0,IFERROR(INDEX(#REF!,MATCH(T145,#REF!,0))*U145,0))</f>
        <v>0</v>
      </c>
      <c r="W145" s="7"/>
      <c r="X145" s="74"/>
      <c r="Y145" s="101">
        <f>IF(OR(W145="",X145=""),0,IFERROR(INDEX(#REF!,MATCH(W145,#REF!,0))*X145,0))</f>
        <v>0</v>
      </c>
      <c r="Z145" s="7"/>
      <c r="AA145" s="74"/>
      <c r="AB145" s="101">
        <f>IF(OR(Z145="",AA145=""),0,IFERROR(INDEX(#REF!,MATCH(Z145,#REF!,0))*AA145,0))</f>
        <v>0</v>
      </c>
      <c r="AC145" s="7"/>
      <c r="AD145" s="74"/>
      <c r="AE145" s="101">
        <f>IF(OR(AC145="",AD145=""),0,IFERROR(INDEX(#REF!,MATCH(AC145,#REF!,0))*AD145,0))</f>
        <v>0</v>
      </c>
      <c r="AF145" s="7"/>
      <c r="AG145" s="74"/>
      <c r="AH145" s="101">
        <f>IF(OR(AF145="",AG145=""),0,IFERROR(INDEX(#REF!,MATCH(AF145,#REF!,0))*AG145,0))</f>
        <v>0</v>
      </c>
      <c r="AI145" s="7"/>
      <c r="AJ145" s="74"/>
      <c r="AK145" s="101">
        <f>IF(OR(AI145="",AJ145=""),0,IFERROR(INDEX(#REF!,MATCH(AI145,#REF!,0))*AJ145,0))</f>
        <v>0</v>
      </c>
      <c r="AL145" s="101">
        <f t="shared" si="24"/>
        <v>0</v>
      </c>
      <c r="AM145" s="7"/>
      <c r="AN145" s="72"/>
      <c r="AO145" s="99">
        <f>IF(OR(AM145="",AN145=""),0,IFERROR(INDEX(#REF!,MATCH(AM145,#REF!,0))*AN145,0))</f>
        <v>0</v>
      </c>
      <c r="AP145" s="7"/>
      <c r="AQ145" s="74"/>
      <c r="AR145" s="99">
        <f>IF(OR(AP145="",AQ145=""),0,IFERROR(INDEX(#REF!,MATCH(AP145,#REF!,0))*AQ145,0))</f>
        <v>0</v>
      </c>
      <c r="AS145" s="7"/>
      <c r="AT145" s="74"/>
      <c r="AU145" s="99">
        <f>IF(OR(AS145="",AT145=""),0,IFERROR(INDEX(#REF!,MATCH(AS145,#REF!,0))*AT145,0))</f>
        <v>0</v>
      </c>
      <c r="AV145" s="7"/>
      <c r="AW145" s="74"/>
      <c r="AX145" s="99">
        <f>IF(OR(AV145="",AW145=""),0,IFERROR(INDEX(#REF!,MATCH(AV145,#REF!,0))*AW145,0))</f>
        <v>0</v>
      </c>
      <c r="AY145" s="7"/>
      <c r="AZ145" s="77"/>
      <c r="BA145" s="99">
        <f>IF(OR(AY145="",AZ145=""),0,IFERROR(INDEX(#REF!,MATCH(AY145,#REF!,0))*AZ145,0))</f>
        <v>0</v>
      </c>
      <c r="BB145" s="100">
        <f t="shared" si="25"/>
        <v>0</v>
      </c>
      <c r="BC145" s="110" t="str">
        <f t="shared" si="26"/>
        <v/>
      </c>
      <c r="BD145" s="62"/>
    </row>
    <row r="146" spans="1:56" ht="19.5" customHeight="1" x14ac:dyDescent="0.45">
      <c r="A146" s="104" t="str">
        <f t="shared" si="18"/>
        <v/>
      </c>
      <c r="B146" s="5"/>
      <c r="C146" s="109"/>
      <c r="D146" s="107"/>
      <c r="E146" s="6"/>
      <c r="F146" s="85"/>
      <c r="G146" s="85"/>
      <c r="H146" s="104" t="str">
        <f t="shared" si="19"/>
        <v/>
      </c>
      <c r="I146" s="103" t="str">
        <f>IFERROR(INDEX(#REF!,MATCH(E146,#REF!,0)),"")</f>
        <v/>
      </c>
      <c r="J146" s="6"/>
      <c r="K146" s="103" t="str">
        <f t="shared" si="20"/>
        <v/>
      </c>
      <c r="L146" s="8"/>
      <c r="M146" s="102" t="str">
        <f t="shared" si="21"/>
        <v/>
      </c>
      <c r="N146" s="9"/>
      <c r="O146" s="103" t="str">
        <f t="shared" si="22"/>
        <v/>
      </c>
      <c r="P146" s="6"/>
      <c r="Q146" s="7"/>
      <c r="R146" s="10"/>
      <c r="S146" s="29" t="str">
        <f t="shared" ca="1" si="23"/>
        <v/>
      </c>
      <c r="T146" s="7"/>
      <c r="U146" s="74"/>
      <c r="V146" s="101">
        <f>IF(OR(T146="",U146=""),0,IFERROR(INDEX(#REF!,MATCH(T146,#REF!,0))*U146,0))</f>
        <v>0</v>
      </c>
      <c r="W146" s="7"/>
      <c r="X146" s="74"/>
      <c r="Y146" s="101">
        <f>IF(OR(W146="",X146=""),0,IFERROR(INDEX(#REF!,MATCH(W146,#REF!,0))*X146,0))</f>
        <v>0</v>
      </c>
      <c r="Z146" s="7"/>
      <c r="AA146" s="74"/>
      <c r="AB146" s="101">
        <f>IF(OR(Z146="",AA146=""),0,IFERROR(INDEX(#REF!,MATCH(Z146,#REF!,0))*AA146,0))</f>
        <v>0</v>
      </c>
      <c r="AC146" s="7"/>
      <c r="AD146" s="74"/>
      <c r="AE146" s="101">
        <f>IF(OR(AC146="",AD146=""),0,IFERROR(INDEX(#REF!,MATCH(AC146,#REF!,0))*AD146,0))</f>
        <v>0</v>
      </c>
      <c r="AF146" s="7"/>
      <c r="AG146" s="74"/>
      <c r="AH146" s="101">
        <f>IF(OR(AF146="",AG146=""),0,IFERROR(INDEX(#REF!,MATCH(AF146,#REF!,0))*AG146,0))</f>
        <v>0</v>
      </c>
      <c r="AI146" s="7"/>
      <c r="AJ146" s="74"/>
      <c r="AK146" s="101">
        <f>IF(OR(AI146="",AJ146=""),0,IFERROR(INDEX(#REF!,MATCH(AI146,#REF!,0))*AJ146,0))</f>
        <v>0</v>
      </c>
      <c r="AL146" s="101">
        <f t="shared" si="24"/>
        <v>0</v>
      </c>
      <c r="AM146" s="7"/>
      <c r="AN146" s="72"/>
      <c r="AO146" s="99">
        <f>IF(OR(AM146="",AN146=""),0,IFERROR(INDEX(#REF!,MATCH(AM146,#REF!,0))*AN146,0))</f>
        <v>0</v>
      </c>
      <c r="AP146" s="7"/>
      <c r="AQ146" s="74"/>
      <c r="AR146" s="99">
        <f>IF(OR(AP146="",AQ146=""),0,IFERROR(INDEX(#REF!,MATCH(AP146,#REF!,0))*AQ146,0))</f>
        <v>0</v>
      </c>
      <c r="AS146" s="7"/>
      <c r="AT146" s="74"/>
      <c r="AU146" s="99">
        <f>IF(OR(AS146="",AT146=""),0,IFERROR(INDEX(#REF!,MATCH(AS146,#REF!,0))*AT146,0))</f>
        <v>0</v>
      </c>
      <c r="AV146" s="7"/>
      <c r="AW146" s="74"/>
      <c r="AX146" s="99">
        <f>IF(OR(AV146="",AW146=""),0,IFERROR(INDEX(#REF!,MATCH(AV146,#REF!,0))*AW146,0))</f>
        <v>0</v>
      </c>
      <c r="AY146" s="7"/>
      <c r="AZ146" s="77"/>
      <c r="BA146" s="99">
        <f>IF(OR(AY146="",AZ146=""),0,IFERROR(INDEX(#REF!,MATCH(AY146,#REF!,0))*AZ146,0))</f>
        <v>0</v>
      </c>
      <c r="BB146" s="100">
        <f t="shared" si="25"/>
        <v>0</v>
      </c>
      <c r="BC146" s="110" t="str">
        <f t="shared" si="26"/>
        <v/>
      </c>
      <c r="BD146" s="62"/>
    </row>
    <row r="147" spans="1:56" ht="19.5" customHeight="1" x14ac:dyDescent="0.45">
      <c r="A147" s="104" t="str">
        <f t="shared" si="18"/>
        <v/>
      </c>
      <c r="B147" s="5"/>
      <c r="C147" s="109"/>
      <c r="D147" s="107"/>
      <c r="E147" s="6"/>
      <c r="F147" s="85"/>
      <c r="G147" s="85"/>
      <c r="H147" s="104" t="str">
        <f t="shared" si="19"/>
        <v/>
      </c>
      <c r="I147" s="103" t="str">
        <f>IFERROR(INDEX(#REF!,MATCH(E147,#REF!,0)),"")</f>
        <v/>
      </c>
      <c r="J147" s="6"/>
      <c r="K147" s="103" t="str">
        <f t="shared" si="20"/>
        <v/>
      </c>
      <c r="L147" s="8"/>
      <c r="M147" s="102" t="str">
        <f t="shared" si="21"/>
        <v/>
      </c>
      <c r="N147" s="9"/>
      <c r="O147" s="103" t="str">
        <f t="shared" si="22"/>
        <v/>
      </c>
      <c r="P147" s="6"/>
      <c r="Q147" s="7"/>
      <c r="R147" s="10"/>
      <c r="S147" s="29" t="str">
        <f t="shared" ca="1" si="23"/>
        <v/>
      </c>
      <c r="T147" s="7"/>
      <c r="U147" s="74"/>
      <c r="V147" s="101">
        <f>IF(OR(T147="",U147=""),0,IFERROR(INDEX(#REF!,MATCH(T147,#REF!,0))*U147,0))</f>
        <v>0</v>
      </c>
      <c r="W147" s="7"/>
      <c r="X147" s="74"/>
      <c r="Y147" s="101">
        <f>IF(OR(W147="",X147=""),0,IFERROR(INDEX(#REF!,MATCH(W147,#REF!,0))*X147,0))</f>
        <v>0</v>
      </c>
      <c r="Z147" s="7"/>
      <c r="AA147" s="74"/>
      <c r="AB147" s="101">
        <f>IF(OR(Z147="",AA147=""),0,IFERROR(INDEX(#REF!,MATCH(Z147,#REF!,0))*AA147,0))</f>
        <v>0</v>
      </c>
      <c r="AC147" s="7"/>
      <c r="AD147" s="74"/>
      <c r="AE147" s="101">
        <f>IF(OR(AC147="",AD147=""),0,IFERROR(INDEX(#REF!,MATCH(AC147,#REF!,0))*AD147,0))</f>
        <v>0</v>
      </c>
      <c r="AF147" s="7"/>
      <c r="AG147" s="74"/>
      <c r="AH147" s="101">
        <f>IF(OR(AF147="",AG147=""),0,IFERROR(INDEX(#REF!,MATCH(AF147,#REF!,0))*AG147,0))</f>
        <v>0</v>
      </c>
      <c r="AI147" s="7"/>
      <c r="AJ147" s="74"/>
      <c r="AK147" s="101">
        <f>IF(OR(AI147="",AJ147=""),0,IFERROR(INDEX(#REF!,MATCH(AI147,#REF!,0))*AJ147,0))</f>
        <v>0</v>
      </c>
      <c r="AL147" s="101">
        <f t="shared" si="24"/>
        <v>0</v>
      </c>
      <c r="AM147" s="7"/>
      <c r="AN147" s="72"/>
      <c r="AO147" s="99">
        <f>IF(OR(AM147="",AN147=""),0,IFERROR(INDEX(#REF!,MATCH(AM147,#REF!,0))*AN147,0))</f>
        <v>0</v>
      </c>
      <c r="AP147" s="7"/>
      <c r="AQ147" s="74"/>
      <c r="AR147" s="99">
        <f>IF(OR(AP147="",AQ147=""),0,IFERROR(INDEX(#REF!,MATCH(AP147,#REF!,0))*AQ147,0))</f>
        <v>0</v>
      </c>
      <c r="AS147" s="7"/>
      <c r="AT147" s="74"/>
      <c r="AU147" s="99">
        <f>IF(OR(AS147="",AT147=""),0,IFERROR(INDEX(#REF!,MATCH(AS147,#REF!,0))*AT147,0))</f>
        <v>0</v>
      </c>
      <c r="AV147" s="7"/>
      <c r="AW147" s="74"/>
      <c r="AX147" s="99">
        <f>IF(OR(AV147="",AW147=""),0,IFERROR(INDEX(#REF!,MATCH(AV147,#REF!,0))*AW147,0))</f>
        <v>0</v>
      </c>
      <c r="AY147" s="7"/>
      <c r="AZ147" s="77"/>
      <c r="BA147" s="99">
        <f>IF(OR(AY147="",AZ147=""),0,IFERROR(INDEX(#REF!,MATCH(AY147,#REF!,0))*AZ147,0))</f>
        <v>0</v>
      </c>
      <c r="BB147" s="100">
        <f t="shared" si="25"/>
        <v>0</v>
      </c>
      <c r="BC147" s="110" t="str">
        <f t="shared" si="26"/>
        <v/>
      </c>
      <c r="BD147" s="62"/>
    </row>
    <row r="148" spans="1:56" ht="19.5" customHeight="1" x14ac:dyDescent="0.45">
      <c r="A148" s="104" t="str">
        <f t="shared" si="18"/>
        <v/>
      </c>
      <c r="B148" s="5"/>
      <c r="C148" s="109"/>
      <c r="D148" s="107"/>
      <c r="E148" s="6"/>
      <c r="F148" s="85"/>
      <c r="G148" s="85"/>
      <c r="H148" s="104" t="str">
        <f t="shared" si="19"/>
        <v/>
      </c>
      <c r="I148" s="103" t="str">
        <f>IFERROR(INDEX(#REF!,MATCH(E148,#REF!,0)),"")</f>
        <v/>
      </c>
      <c r="J148" s="6"/>
      <c r="K148" s="103" t="str">
        <f t="shared" si="20"/>
        <v/>
      </c>
      <c r="L148" s="8"/>
      <c r="M148" s="102" t="str">
        <f t="shared" si="21"/>
        <v/>
      </c>
      <c r="N148" s="9"/>
      <c r="O148" s="103" t="str">
        <f t="shared" si="22"/>
        <v/>
      </c>
      <c r="P148" s="6"/>
      <c r="Q148" s="7"/>
      <c r="R148" s="10"/>
      <c r="S148" s="29" t="str">
        <f t="shared" ca="1" si="23"/>
        <v/>
      </c>
      <c r="T148" s="7"/>
      <c r="U148" s="74"/>
      <c r="V148" s="101">
        <f>IF(OR(T148="",U148=""),0,IFERROR(INDEX(#REF!,MATCH(T148,#REF!,0))*U148,0))</f>
        <v>0</v>
      </c>
      <c r="W148" s="7"/>
      <c r="X148" s="74"/>
      <c r="Y148" s="101">
        <f>IF(OR(W148="",X148=""),0,IFERROR(INDEX(#REF!,MATCH(W148,#REF!,0))*X148,0))</f>
        <v>0</v>
      </c>
      <c r="Z148" s="7"/>
      <c r="AA148" s="74"/>
      <c r="AB148" s="101">
        <f>IF(OR(Z148="",AA148=""),0,IFERROR(INDEX(#REF!,MATCH(Z148,#REF!,0))*AA148,0))</f>
        <v>0</v>
      </c>
      <c r="AC148" s="7"/>
      <c r="AD148" s="74"/>
      <c r="AE148" s="101">
        <f>IF(OR(AC148="",AD148=""),0,IFERROR(INDEX(#REF!,MATCH(AC148,#REF!,0))*AD148,0))</f>
        <v>0</v>
      </c>
      <c r="AF148" s="7"/>
      <c r="AG148" s="74"/>
      <c r="AH148" s="101">
        <f>IF(OR(AF148="",AG148=""),0,IFERROR(INDEX(#REF!,MATCH(AF148,#REF!,0))*AG148,0))</f>
        <v>0</v>
      </c>
      <c r="AI148" s="7"/>
      <c r="AJ148" s="74"/>
      <c r="AK148" s="101">
        <f>IF(OR(AI148="",AJ148=""),0,IFERROR(INDEX(#REF!,MATCH(AI148,#REF!,0))*AJ148,0))</f>
        <v>0</v>
      </c>
      <c r="AL148" s="101">
        <f t="shared" si="24"/>
        <v>0</v>
      </c>
      <c r="AM148" s="7"/>
      <c r="AN148" s="72"/>
      <c r="AO148" s="99">
        <f>IF(OR(AM148="",AN148=""),0,IFERROR(INDEX(#REF!,MATCH(AM148,#REF!,0))*AN148,0))</f>
        <v>0</v>
      </c>
      <c r="AP148" s="7"/>
      <c r="AQ148" s="74"/>
      <c r="AR148" s="99">
        <f>IF(OR(AP148="",AQ148=""),0,IFERROR(INDEX(#REF!,MATCH(AP148,#REF!,0))*AQ148,0))</f>
        <v>0</v>
      </c>
      <c r="AS148" s="7"/>
      <c r="AT148" s="74"/>
      <c r="AU148" s="99">
        <f>IF(OR(AS148="",AT148=""),0,IFERROR(INDEX(#REF!,MATCH(AS148,#REF!,0))*AT148,0))</f>
        <v>0</v>
      </c>
      <c r="AV148" s="7"/>
      <c r="AW148" s="74"/>
      <c r="AX148" s="99">
        <f>IF(OR(AV148="",AW148=""),0,IFERROR(INDEX(#REF!,MATCH(AV148,#REF!,0))*AW148,0))</f>
        <v>0</v>
      </c>
      <c r="AY148" s="7"/>
      <c r="AZ148" s="77"/>
      <c r="BA148" s="99">
        <f>IF(OR(AY148="",AZ148=""),0,IFERROR(INDEX(#REF!,MATCH(AY148,#REF!,0))*AZ148,0))</f>
        <v>0</v>
      </c>
      <c r="BB148" s="100">
        <f t="shared" si="25"/>
        <v>0</v>
      </c>
      <c r="BC148" s="110" t="str">
        <f t="shared" si="26"/>
        <v/>
      </c>
      <c r="BD148" s="62"/>
    </row>
    <row r="149" spans="1:56" ht="19.5" customHeight="1" x14ac:dyDescent="0.45">
      <c r="A149" s="104" t="str">
        <f t="shared" ref="A149:A212" si="27">IF(B149="","","BK-"&amp;TEXT(ROW()-4,"0000"))</f>
        <v/>
      </c>
      <c r="B149" s="5"/>
      <c r="C149" s="109"/>
      <c r="D149" s="107"/>
      <c r="E149" s="6"/>
      <c r="F149" s="85"/>
      <c r="G149" s="85"/>
      <c r="H149" s="104" t="str">
        <f t="shared" si="19"/>
        <v/>
      </c>
      <c r="I149" s="103" t="str">
        <f>IFERROR(INDEX(#REF!,MATCH(E149,#REF!,0)),"")</f>
        <v/>
      </c>
      <c r="J149" s="6"/>
      <c r="K149" s="103" t="str">
        <f t="shared" si="20"/>
        <v/>
      </c>
      <c r="L149" s="8"/>
      <c r="M149" s="102" t="str">
        <f t="shared" si="21"/>
        <v/>
      </c>
      <c r="N149" s="9"/>
      <c r="O149" s="103" t="str">
        <f t="shared" si="22"/>
        <v/>
      </c>
      <c r="P149" s="6"/>
      <c r="Q149" s="7"/>
      <c r="R149" s="10"/>
      <c r="S149" s="29" t="str">
        <f t="shared" ca="1" si="23"/>
        <v/>
      </c>
      <c r="T149" s="7"/>
      <c r="U149" s="74"/>
      <c r="V149" s="101">
        <f>IF(OR(T149="",U149=""),0,IFERROR(INDEX(#REF!,MATCH(T149,#REF!,0))*U149,0))</f>
        <v>0</v>
      </c>
      <c r="W149" s="7"/>
      <c r="X149" s="74"/>
      <c r="Y149" s="101">
        <f>IF(OR(W149="",X149=""),0,IFERROR(INDEX(#REF!,MATCH(W149,#REF!,0))*X149,0))</f>
        <v>0</v>
      </c>
      <c r="Z149" s="7"/>
      <c r="AA149" s="74"/>
      <c r="AB149" s="101">
        <f>IF(OR(Z149="",AA149=""),0,IFERROR(INDEX(#REF!,MATCH(Z149,#REF!,0))*AA149,0))</f>
        <v>0</v>
      </c>
      <c r="AC149" s="7"/>
      <c r="AD149" s="74"/>
      <c r="AE149" s="101">
        <f>IF(OR(AC149="",AD149=""),0,IFERROR(INDEX(#REF!,MATCH(AC149,#REF!,0))*AD149,0))</f>
        <v>0</v>
      </c>
      <c r="AF149" s="7"/>
      <c r="AG149" s="74"/>
      <c r="AH149" s="101">
        <f>IF(OR(AF149="",AG149=""),0,IFERROR(INDEX(#REF!,MATCH(AF149,#REF!,0))*AG149,0))</f>
        <v>0</v>
      </c>
      <c r="AI149" s="7"/>
      <c r="AJ149" s="74"/>
      <c r="AK149" s="101">
        <f>IF(OR(AI149="",AJ149=""),0,IFERROR(INDEX(#REF!,MATCH(AI149,#REF!,0))*AJ149,0))</f>
        <v>0</v>
      </c>
      <c r="AL149" s="101">
        <f t="shared" si="24"/>
        <v>0</v>
      </c>
      <c r="AM149" s="7"/>
      <c r="AN149" s="72"/>
      <c r="AO149" s="99">
        <f>IF(OR(AM149="",AN149=""),0,IFERROR(INDEX(#REF!,MATCH(AM149,#REF!,0))*AN149,0))</f>
        <v>0</v>
      </c>
      <c r="AP149" s="7"/>
      <c r="AQ149" s="74"/>
      <c r="AR149" s="99">
        <f>IF(OR(AP149="",AQ149=""),0,IFERROR(INDEX(#REF!,MATCH(AP149,#REF!,0))*AQ149,0))</f>
        <v>0</v>
      </c>
      <c r="AS149" s="7"/>
      <c r="AT149" s="74"/>
      <c r="AU149" s="99">
        <f>IF(OR(AS149="",AT149=""),0,IFERROR(INDEX(#REF!,MATCH(AS149,#REF!,0))*AT149,0))</f>
        <v>0</v>
      </c>
      <c r="AV149" s="7"/>
      <c r="AW149" s="74"/>
      <c r="AX149" s="99">
        <f>IF(OR(AV149="",AW149=""),0,IFERROR(INDEX(#REF!,MATCH(AV149,#REF!,0))*AW149,0))</f>
        <v>0</v>
      </c>
      <c r="AY149" s="7"/>
      <c r="AZ149" s="77"/>
      <c r="BA149" s="99">
        <f>IF(OR(AY149="",AZ149=""),0,IFERROR(INDEX(#REF!,MATCH(AY149,#REF!,0))*AZ149,0))</f>
        <v>0</v>
      </c>
      <c r="BB149" s="100">
        <f t="shared" si="25"/>
        <v>0</v>
      </c>
      <c r="BC149" s="110" t="str">
        <f t="shared" si="26"/>
        <v/>
      </c>
      <c r="BD149" s="62"/>
    </row>
    <row r="150" spans="1:56" ht="19.5" customHeight="1" x14ac:dyDescent="0.45">
      <c r="A150" s="104" t="str">
        <f t="shared" si="27"/>
        <v/>
      </c>
      <c r="B150" s="5"/>
      <c r="C150" s="109"/>
      <c r="D150" s="107"/>
      <c r="E150" s="6"/>
      <c r="F150" s="85"/>
      <c r="G150" s="85"/>
      <c r="H150" s="104" t="str">
        <f t="shared" si="19"/>
        <v/>
      </c>
      <c r="I150" s="103" t="str">
        <f>IFERROR(INDEX(#REF!,MATCH(E150,#REF!,0)),"")</f>
        <v/>
      </c>
      <c r="J150" s="6"/>
      <c r="K150" s="103" t="str">
        <f t="shared" si="20"/>
        <v/>
      </c>
      <c r="L150" s="8"/>
      <c r="M150" s="102" t="str">
        <f t="shared" si="21"/>
        <v/>
      </c>
      <c r="N150" s="9"/>
      <c r="O150" s="103" t="str">
        <f t="shared" si="22"/>
        <v/>
      </c>
      <c r="P150" s="6"/>
      <c r="Q150" s="7"/>
      <c r="R150" s="10"/>
      <c r="S150" s="29" t="str">
        <f t="shared" ca="1" si="23"/>
        <v/>
      </c>
      <c r="T150" s="7"/>
      <c r="U150" s="74"/>
      <c r="V150" s="101">
        <f>IF(OR(T150="",U150=""),0,IFERROR(INDEX(#REF!,MATCH(T150,#REF!,0))*U150,0))</f>
        <v>0</v>
      </c>
      <c r="W150" s="7"/>
      <c r="X150" s="74"/>
      <c r="Y150" s="101">
        <f>IF(OR(W150="",X150=""),0,IFERROR(INDEX(#REF!,MATCH(W150,#REF!,0))*X150,0))</f>
        <v>0</v>
      </c>
      <c r="Z150" s="7"/>
      <c r="AA150" s="74"/>
      <c r="AB150" s="101">
        <f>IF(OR(Z150="",AA150=""),0,IFERROR(INDEX(#REF!,MATCH(Z150,#REF!,0))*AA150,0))</f>
        <v>0</v>
      </c>
      <c r="AC150" s="7"/>
      <c r="AD150" s="74"/>
      <c r="AE150" s="101">
        <f>IF(OR(AC150="",AD150=""),0,IFERROR(INDEX(#REF!,MATCH(AC150,#REF!,0))*AD150,0))</f>
        <v>0</v>
      </c>
      <c r="AF150" s="7"/>
      <c r="AG150" s="74"/>
      <c r="AH150" s="101">
        <f>IF(OR(AF150="",AG150=""),0,IFERROR(INDEX(#REF!,MATCH(AF150,#REF!,0))*AG150,0))</f>
        <v>0</v>
      </c>
      <c r="AI150" s="7"/>
      <c r="AJ150" s="74"/>
      <c r="AK150" s="101">
        <f>IF(OR(AI150="",AJ150=""),0,IFERROR(INDEX(#REF!,MATCH(AI150,#REF!,0))*AJ150,0))</f>
        <v>0</v>
      </c>
      <c r="AL150" s="101">
        <f t="shared" si="24"/>
        <v>0</v>
      </c>
      <c r="AM150" s="7"/>
      <c r="AN150" s="72"/>
      <c r="AO150" s="99">
        <f>IF(OR(AM150="",AN150=""),0,IFERROR(INDEX(#REF!,MATCH(AM150,#REF!,0))*AN150,0))</f>
        <v>0</v>
      </c>
      <c r="AP150" s="7"/>
      <c r="AQ150" s="74"/>
      <c r="AR150" s="99">
        <f>IF(OR(AP150="",AQ150=""),0,IFERROR(INDEX(#REF!,MATCH(AP150,#REF!,0))*AQ150,0))</f>
        <v>0</v>
      </c>
      <c r="AS150" s="7"/>
      <c r="AT150" s="74"/>
      <c r="AU150" s="99">
        <f>IF(OR(AS150="",AT150=""),0,IFERROR(INDEX(#REF!,MATCH(AS150,#REF!,0))*AT150,0))</f>
        <v>0</v>
      </c>
      <c r="AV150" s="7"/>
      <c r="AW150" s="74"/>
      <c r="AX150" s="99">
        <f>IF(OR(AV150="",AW150=""),0,IFERROR(INDEX(#REF!,MATCH(AV150,#REF!,0))*AW150,0))</f>
        <v>0</v>
      </c>
      <c r="AY150" s="7"/>
      <c r="AZ150" s="77"/>
      <c r="BA150" s="99">
        <f>IF(OR(AY150="",AZ150=""),0,IFERROR(INDEX(#REF!,MATCH(AY150,#REF!,0))*AZ150,0))</f>
        <v>0</v>
      </c>
      <c r="BB150" s="100">
        <f t="shared" si="25"/>
        <v>0</v>
      </c>
      <c r="BC150" s="110" t="str">
        <f t="shared" si="26"/>
        <v/>
      </c>
      <c r="BD150" s="62"/>
    </row>
    <row r="151" spans="1:56" ht="19.5" customHeight="1" x14ac:dyDescent="0.45">
      <c r="A151" s="104" t="str">
        <f t="shared" si="27"/>
        <v/>
      </c>
      <c r="B151" s="5"/>
      <c r="C151" s="109"/>
      <c r="D151" s="107"/>
      <c r="E151" s="6"/>
      <c r="F151" s="85"/>
      <c r="G151" s="85"/>
      <c r="H151" s="104" t="str">
        <f t="shared" si="19"/>
        <v/>
      </c>
      <c r="I151" s="103" t="str">
        <f>IFERROR(INDEX(#REF!,MATCH(E151,#REF!,0)),"")</f>
        <v/>
      </c>
      <c r="J151" s="6"/>
      <c r="K151" s="103" t="str">
        <f t="shared" si="20"/>
        <v/>
      </c>
      <c r="L151" s="8"/>
      <c r="M151" s="102" t="str">
        <f t="shared" si="21"/>
        <v/>
      </c>
      <c r="N151" s="9"/>
      <c r="O151" s="103" t="str">
        <f t="shared" si="22"/>
        <v/>
      </c>
      <c r="P151" s="6"/>
      <c r="Q151" s="7"/>
      <c r="R151" s="10"/>
      <c r="S151" s="29" t="str">
        <f t="shared" ca="1" si="23"/>
        <v/>
      </c>
      <c r="T151" s="7"/>
      <c r="U151" s="74"/>
      <c r="V151" s="101">
        <f>IF(OR(T151="",U151=""),0,IFERROR(INDEX(#REF!,MATCH(T151,#REF!,0))*U151,0))</f>
        <v>0</v>
      </c>
      <c r="W151" s="7"/>
      <c r="X151" s="74"/>
      <c r="Y151" s="101">
        <f>IF(OR(W151="",X151=""),0,IFERROR(INDEX(#REF!,MATCH(W151,#REF!,0))*X151,0))</f>
        <v>0</v>
      </c>
      <c r="Z151" s="7"/>
      <c r="AA151" s="74"/>
      <c r="AB151" s="101">
        <f>IF(OR(Z151="",AA151=""),0,IFERROR(INDEX(#REF!,MATCH(Z151,#REF!,0))*AA151,0))</f>
        <v>0</v>
      </c>
      <c r="AC151" s="7"/>
      <c r="AD151" s="74"/>
      <c r="AE151" s="101">
        <f>IF(OR(AC151="",AD151=""),0,IFERROR(INDEX(#REF!,MATCH(AC151,#REF!,0))*AD151,0))</f>
        <v>0</v>
      </c>
      <c r="AF151" s="7"/>
      <c r="AG151" s="74"/>
      <c r="AH151" s="101">
        <f>IF(OR(AF151="",AG151=""),0,IFERROR(INDEX(#REF!,MATCH(AF151,#REF!,0))*AG151,0))</f>
        <v>0</v>
      </c>
      <c r="AI151" s="7"/>
      <c r="AJ151" s="74"/>
      <c r="AK151" s="101">
        <f>IF(OR(AI151="",AJ151=""),0,IFERROR(INDEX(#REF!,MATCH(AI151,#REF!,0))*AJ151,0))</f>
        <v>0</v>
      </c>
      <c r="AL151" s="101">
        <f t="shared" si="24"/>
        <v>0</v>
      </c>
      <c r="AM151" s="7"/>
      <c r="AN151" s="72"/>
      <c r="AO151" s="99">
        <f>IF(OR(AM151="",AN151=""),0,IFERROR(INDEX(#REF!,MATCH(AM151,#REF!,0))*AN151,0))</f>
        <v>0</v>
      </c>
      <c r="AP151" s="7"/>
      <c r="AQ151" s="74"/>
      <c r="AR151" s="99">
        <f>IF(OR(AP151="",AQ151=""),0,IFERROR(INDEX(#REF!,MATCH(AP151,#REF!,0))*AQ151,0))</f>
        <v>0</v>
      </c>
      <c r="AS151" s="7"/>
      <c r="AT151" s="74"/>
      <c r="AU151" s="99">
        <f>IF(OR(AS151="",AT151=""),0,IFERROR(INDEX(#REF!,MATCH(AS151,#REF!,0))*AT151,0))</f>
        <v>0</v>
      </c>
      <c r="AV151" s="7"/>
      <c r="AW151" s="74"/>
      <c r="AX151" s="99">
        <f>IF(OR(AV151="",AW151=""),0,IFERROR(INDEX(#REF!,MATCH(AV151,#REF!,0))*AW151,0))</f>
        <v>0</v>
      </c>
      <c r="AY151" s="7"/>
      <c r="AZ151" s="77"/>
      <c r="BA151" s="99">
        <f>IF(OR(AY151="",AZ151=""),0,IFERROR(INDEX(#REF!,MATCH(AY151,#REF!,0))*AZ151,0))</f>
        <v>0</v>
      </c>
      <c r="BB151" s="100">
        <f t="shared" si="25"/>
        <v>0</v>
      </c>
      <c r="BC151" s="110" t="str">
        <f t="shared" si="26"/>
        <v/>
      </c>
      <c r="BD151" s="62"/>
    </row>
    <row r="152" spans="1:56" ht="19.5" customHeight="1" x14ac:dyDescent="0.45">
      <c r="A152" s="104" t="str">
        <f t="shared" si="27"/>
        <v/>
      </c>
      <c r="B152" s="5"/>
      <c r="C152" s="109"/>
      <c r="D152" s="107"/>
      <c r="E152" s="6"/>
      <c r="F152" s="85"/>
      <c r="G152" s="85"/>
      <c r="H152" s="104" t="str">
        <f t="shared" si="19"/>
        <v/>
      </c>
      <c r="I152" s="103" t="str">
        <f>IFERROR(INDEX(#REF!,MATCH(E152,#REF!,0)),"")</f>
        <v/>
      </c>
      <c r="J152" s="6"/>
      <c r="K152" s="103" t="str">
        <f t="shared" si="20"/>
        <v/>
      </c>
      <c r="L152" s="8"/>
      <c r="M152" s="102" t="str">
        <f t="shared" si="21"/>
        <v/>
      </c>
      <c r="N152" s="9"/>
      <c r="O152" s="103" t="str">
        <f t="shared" si="22"/>
        <v/>
      </c>
      <c r="P152" s="6"/>
      <c r="Q152" s="7"/>
      <c r="R152" s="10"/>
      <c r="S152" s="29" t="str">
        <f t="shared" ca="1" si="23"/>
        <v/>
      </c>
      <c r="T152" s="7"/>
      <c r="U152" s="74"/>
      <c r="V152" s="101">
        <f>IF(OR(T152="",U152=""),0,IFERROR(INDEX(#REF!,MATCH(T152,#REF!,0))*U152,0))</f>
        <v>0</v>
      </c>
      <c r="W152" s="7"/>
      <c r="X152" s="74"/>
      <c r="Y152" s="101">
        <f>IF(OR(W152="",X152=""),0,IFERROR(INDEX(#REF!,MATCH(W152,#REF!,0))*X152,0))</f>
        <v>0</v>
      </c>
      <c r="Z152" s="7"/>
      <c r="AA152" s="74"/>
      <c r="AB152" s="101">
        <f>IF(OR(Z152="",AA152=""),0,IFERROR(INDEX(#REF!,MATCH(Z152,#REF!,0))*AA152,0))</f>
        <v>0</v>
      </c>
      <c r="AC152" s="7"/>
      <c r="AD152" s="74"/>
      <c r="AE152" s="101">
        <f>IF(OR(AC152="",AD152=""),0,IFERROR(INDEX(#REF!,MATCH(AC152,#REF!,0))*AD152,0))</f>
        <v>0</v>
      </c>
      <c r="AF152" s="7"/>
      <c r="AG152" s="74"/>
      <c r="AH152" s="101">
        <f>IF(OR(AF152="",AG152=""),0,IFERROR(INDEX(#REF!,MATCH(AF152,#REF!,0))*AG152,0))</f>
        <v>0</v>
      </c>
      <c r="AI152" s="7"/>
      <c r="AJ152" s="74"/>
      <c r="AK152" s="101">
        <f>IF(OR(AI152="",AJ152=""),0,IFERROR(INDEX(#REF!,MATCH(AI152,#REF!,0))*AJ152,0))</f>
        <v>0</v>
      </c>
      <c r="AL152" s="101">
        <f t="shared" si="24"/>
        <v>0</v>
      </c>
      <c r="AM152" s="7"/>
      <c r="AN152" s="72"/>
      <c r="AO152" s="99">
        <f>IF(OR(AM152="",AN152=""),0,IFERROR(INDEX(#REF!,MATCH(AM152,#REF!,0))*AN152,0))</f>
        <v>0</v>
      </c>
      <c r="AP152" s="7"/>
      <c r="AQ152" s="74"/>
      <c r="AR152" s="99">
        <f>IF(OR(AP152="",AQ152=""),0,IFERROR(INDEX(#REF!,MATCH(AP152,#REF!,0))*AQ152,0))</f>
        <v>0</v>
      </c>
      <c r="AS152" s="7"/>
      <c r="AT152" s="74"/>
      <c r="AU152" s="99">
        <f>IF(OR(AS152="",AT152=""),0,IFERROR(INDEX(#REF!,MATCH(AS152,#REF!,0))*AT152,0))</f>
        <v>0</v>
      </c>
      <c r="AV152" s="7"/>
      <c r="AW152" s="74"/>
      <c r="AX152" s="99">
        <f>IF(OR(AV152="",AW152=""),0,IFERROR(INDEX(#REF!,MATCH(AV152,#REF!,0))*AW152,0))</f>
        <v>0</v>
      </c>
      <c r="AY152" s="7"/>
      <c r="AZ152" s="77"/>
      <c r="BA152" s="99">
        <f>IF(OR(AY152="",AZ152=""),0,IFERROR(INDEX(#REF!,MATCH(AY152,#REF!,0))*AZ152,0))</f>
        <v>0</v>
      </c>
      <c r="BB152" s="100">
        <f t="shared" si="25"/>
        <v>0</v>
      </c>
      <c r="BC152" s="110" t="str">
        <f t="shared" si="26"/>
        <v/>
      </c>
      <c r="BD152" s="62"/>
    </row>
    <row r="153" spans="1:56" ht="19.5" customHeight="1" x14ac:dyDescent="0.45">
      <c r="A153" s="104" t="str">
        <f t="shared" si="27"/>
        <v/>
      </c>
      <c r="B153" s="5"/>
      <c r="C153" s="109"/>
      <c r="D153" s="107"/>
      <c r="E153" s="6"/>
      <c r="F153" s="85"/>
      <c r="G153" s="85"/>
      <c r="H153" s="104" t="str">
        <f t="shared" si="19"/>
        <v/>
      </c>
      <c r="I153" s="103" t="str">
        <f>IFERROR(INDEX(#REF!,MATCH(E153,#REF!,0)),"")</f>
        <v/>
      </c>
      <c r="J153" s="6"/>
      <c r="K153" s="103" t="str">
        <f t="shared" si="20"/>
        <v/>
      </c>
      <c r="L153" s="8"/>
      <c r="M153" s="102" t="str">
        <f t="shared" si="21"/>
        <v/>
      </c>
      <c r="N153" s="9"/>
      <c r="O153" s="103" t="str">
        <f t="shared" si="22"/>
        <v/>
      </c>
      <c r="P153" s="6"/>
      <c r="Q153" s="7"/>
      <c r="R153" s="10"/>
      <c r="S153" s="29" t="str">
        <f t="shared" ca="1" si="23"/>
        <v/>
      </c>
      <c r="T153" s="7"/>
      <c r="U153" s="74"/>
      <c r="V153" s="101">
        <f>IF(OR(T153="",U153=""),0,IFERROR(INDEX(#REF!,MATCH(T153,#REF!,0))*U153,0))</f>
        <v>0</v>
      </c>
      <c r="W153" s="7"/>
      <c r="X153" s="74"/>
      <c r="Y153" s="101">
        <f>IF(OR(W153="",X153=""),0,IFERROR(INDEX(#REF!,MATCH(W153,#REF!,0))*X153,0))</f>
        <v>0</v>
      </c>
      <c r="Z153" s="7"/>
      <c r="AA153" s="74"/>
      <c r="AB153" s="101">
        <f>IF(OR(Z153="",AA153=""),0,IFERROR(INDEX(#REF!,MATCH(Z153,#REF!,0))*AA153,0))</f>
        <v>0</v>
      </c>
      <c r="AC153" s="7"/>
      <c r="AD153" s="74"/>
      <c r="AE153" s="101">
        <f>IF(OR(AC153="",AD153=""),0,IFERROR(INDEX(#REF!,MATCH(AC153,#REF!,0))*AD153,0))</f>
        <v>0</v>
      </c>
      <c r="AF153" s="7"/>
      <c r="AG153" s="74"/>
      <c r="AH153" s="101">
        <f>IF(OR(AF153="",AG153=""),0,IFERROR(INDEX(#REF!,MATCH(AF153,#REF!,0))*AG153,0))</f>
        <v>0</v>
      </c>
      <c r="AI153" s="7"/>
      <c r="AJ153" s="74"/>
      <c r="AK153" s="101">
        <f>IF(OR(AI153="",AJ153=""),0,IFERROR(INDEX(#REF!,MATCH(AI153,#REF!,0))*AJ153,0))</f>
        <v>0</v>
      </c>
      <c r="AL153" s="101">
        <f t="shared" si="24"/>
        <v>0</v>
      </c>
      <c r="AM153" s="7"/>
      <c r="AN153" s="72"/>
      <c r="AO153" s="99">
        <f>IF(OR(AM153="",AN153=""),0,IFERROR(INDEX(#REF!,MATCH(AM153,#REF!,0))*AN153,0))</f>
        <v>0</v>
      </c>
      <c r="AP153" s="7"/>
      <c r="AQ153" s="74"/>
      <c r="AR153" s="99">
        <f>IF(OR(AP153="",AQ153=""),0,IFERROR(INDEX(#REF!,MATCH(AP153,#REF!,0))*AQ153,0))</f>
        <v>0</v>
      </c>
      <c r="AS153" s="7"/>
      <c r="AT153" s="74"/>
      <c r="AU153" s="99">
        <f>IF(OR(AS153="",AT153=""),0,IFERROR(INDEX(#REF!,MATCH(AS153,#REF!,0))*AT153,0))</f>
        <v>0</v>
      </c>
      <c r="AV153" s="7"/>
      <c r="AW153" s="74"/>
      <c r="AX153" s="99">
        <f>IF(OR(AV153="",AW153=""),0,IFERROR(INDEX(#REF!,MATCH(AV153,#REF!,0))*AW153,0))</f>
        <v>0</v>
      </c>
      <c r="AY153" s="7"/>
      <c r="AZ153" s="77"/>
      <c r="BA153" s="99">
        <f>IF(OR(AY153="",AZ153=""),0,IFERROR(INDEX(#REF!,MATCH(AY153,#REF!,0))*AZ153,0))</f>
        <v>0</v>
      </c>
      <c r="BB153" s="100">
        <f t="shared" si="25"/>
        <v>0</v>
      </c>
      <c r="BC153" s="110" t="str">
        <f t="shared" si="26"/>
        <v/>
      </c>
      <c r="BD153" s="62"/>
    </row>
    <row r="154" spans="1:56" ht="19.5" customHeight="1" x14ac:dyDescent="0.45">
      <c r="A154" s="104" t="str">
        <f t="shared" si="27"/>
        <v/>
      </c>
      <c r="B154" s="5"/>
      <c r="C154" s="109"/>
      <c r="D154" s="107"/>
      <c r="E154" s="6"/>
      <c r="F154" s="85"/>
      <c r="G154" s="85"/>
      <c r="H154" s="104" t="str">
        <f t="shared" si="19"/>
        <v/>
      </c>
      <c r="I154" s="103" t="str">
        <f>IFERROR(INDEX(#REF!,MATCH(E154,#REF!,0)),"")</f>
        <v/>
      </c>
      <c r="J154" s="6"/>
      <c r="K154" s="103" t="str">
        <f t="shared" si="20"/>
        <v/>
      </c>
      <c r="L154" s="8"/>
      <c r="M154" s="102" t="str">
        <f t="shared" si="21"/>
        <v/>
      </c>
      <c r="N154" s="9"/>
      <c r="O154" s="103" t="str">
        <f t="shared" si="22"/>
        <v/>
      </c>
      <c r="P154" s="6"/>
      <c r="Q154" s="7"/>
      <c r="R154" s="10"/>
      <c r="S154" s="29" t="str">
        <f t="shared" ca="1" si="23"/>
        <v/>
      </c>
      <c r="T154" s="7"/>
      <c r="U154" s="74"/>
      <c r="V154" s="101">
        <f>IF(OR(T154="",U154=""),0,IFERROR(INDEX(#REF!,MATCH(T154,#REF!,0))*U154,0))</f>
        <v>0</v>
      </c>
      <c r="W154" s="7"/>
      <c r="X154" s="74"/>
      <c r="Y154" s="101">
        <f>IF(OR(W154="",X154=""),0,IFERROR(INDEX(#REF!,MATCH(W154,#REF!,0))*X154,0))</f>
        <v>0</v>
      </c>
      <c r="Z154" s="7"/>
      <c r="AA154" s="74"/>
      <c r="AB154" s="101">
        <f>IF(OR(Z154="",AA154=""),0,IFERROR(INDEX(#REF!,MATCH(Z154,#REF!,0))*AA154,0))</f>
        <v>0</v>
      </c>
      <c r="AC154" s="7"/>
      <c r="AD154" s="74"/>
      <c r="AE154" s="101">
        <f>IF(OR(AC154="",AD154=""),0,IFERROR(INDEX(#REF!,MATCH(AC154,#REF!,0))*AD154,0))</f>
        <v>0</v>
      </c>
      <c r="AF154" s="7"/>
      <c r="AG154" s="74"/>
      <c r="AH154" s="101">
        <f>IF(OR(AF154="",AG154=""),0,IFERROR(INDEX(#REF!,MATCH(AF154,#REF!,0))*AG154,0))</f>
        <v>0</v>
      </c>
      <c r="AI154" s="7"/>
      <c r="AJ154" s="74"/>
      <c r="AK154" s="101">
        <f>IF(OR(AI154="",AJ154=""),0,IFERROR(INDEX(#REF!,MATCH(AI154,#REF!,0))*AJ154,0))</f>
        <v>0</v>
      </c>
      <c r="AL154" s="101">
        <f t="shared" si="24"/>
        <v>0</v>
      </c>
      <c r="AM154" s="7"/>
      <c r="AN154" s="72"/>
      <c r="AO154" s="99">
        <f>IF(OR(AM154="",AN154=""),0,IFERROR(INDEX(#REF!,MATCH(AM154,#REF!,0))*AN154,0))</f>
        <v>0</v>
      </c>
      <c r="AP154" s="7"/>
      <c r="AQ154" s="74"/>
      <c r="AR154" s="99">
        <f>IF(OR(AP154="",AQ154=""),0,IFERROR(INDEX(#REF!,MATCH(AP154,#REF!,0))*AQ154,0))</f>
        <v>0</v>
      </c>
      <c r="AS154" s="7"/>
      <c r="AT154" s="74"/>
      <c r="AU154" s="99">
        <f>IF(OR(AS154="",AT154=""),0,IFERROR(INDEX(#REF!,MATCH(AS154,#REF!,0))*AT154,0))</f>
        <v>0</v>
      </c>
      <c r="AV154" s="7"/>
      <c r="AW154" s="74"/>
      <c r="AX154" s="99">
        <f>IF(OR(AV154="",AW154=""),0,IFERROR(INDEX(#REF!,MATCH(AV154,#REF!,0))*AW154,0))</f>
        <v>0</v>
      </c>
      <c r="AY154" s="7"/>
      <c r="AZ154" s="77"/>
      <c r="BA154" s="99">
        <f>IF(OR(AY154="",AZ154=""),0,IFERROR(INDEX(#REF!,MATCH(AY154,#REF!,0))*AZ154,0))</f>
        <v>0</v>
      </c>
      <c r="BB154" s="100">
        <f t="shared" si="25"/>
        <v>0</v>
      </c>
      <c r="BC154" s="110" t="str">
        <f t="shared" si="26"/>
        <v/>
      </c>
      <c r="BD154" s="62"/>
    </row>
    <row r="155" spans="1:56" ht="19.5" customHeight="1" x14ac:dyDescent="0.45">
      <c r="A155" s="104" t="str">
        <f t="shared" si="27"/>
        <v/>
      </c>
      <c r="B155" s="5"/>
      <c r="C155" s="109"/>
      <c r="D155" s="107"/>
      <c r="E155" s="6"/>
      <c r="F155" s="85"/>
      <c r="G155" s="85"/>
      <c r="H155" s="104" t="str">
        <f t="shared" si="19"/>
        <v/>
      </c>
      <c r="I155" s="103" t="str">
        <f>IFERROR(INDEX(#REF!,MATCH(E155,#REF!,0)),"")</f>
        <v/>
      </c>
      <c r="J155" s="6"/>
      <c r="K155" s="103" t="str">
        <f t="shared" si="20"/>
        <v/>
      </c>
      <c r="L155" s="8"/>
      <c r="M155" s="102" t="str">
        <f t="shared" si="21"/>
        <v/>
      </c>
      <c r="N155" s="9"/>
      <c r="O155" s="103" t="str">
        <f t="shared" si="22"/>
        <v/>
      </c>
      <c r="P155" s="6"/>
      <c r="Q155" s="7"/>
      <c r="R155" s="10"/>
      <c r="S155" s="29" t="str">
        <f t="shared" ca="1" si="23"/>
        <v/>
      </c>
      <c r="T155" s="7"/>
      <c r="U155" s="74"/>
      <c r="V155" s="101">
        <f>IF(OR(T155="",U155=""),0,IFERROR(INDEX(#REF!,MATCH(T155,#REF!,0))*U155,0))</f>
        <v>0</v>
      </c>
      <c r="W155" s="7"/>
      <c r="X155" s="74"/>
      <c r="Y155" s="101">
        <f>IF(OR(W155="",X155=""),0,IFERROR(INDEX(#REF!,MATCH(W155,#REF!,0))*X155,0))</f>
        <v>0</v>
      </c>
      <c r="Z155" s="7"/>
      <c r="AA155" s="74"/>
      <c r="AB155" s="101">
        <f>IF(OR(Z155="",AA155=""),0,IFERROR(INDEX(#REF!,MATCH(Z155,#REF!,0))*AA155,0))</f>
        <v>0</v>
      </c>
      <c r="AC155" s="7"/>
      <c r="AD155" s="74"/>
      <c r="AE155" s="101">
        <f>IF(OR(AC155="",AD155=""),0,IFERROR(INDEX(#REF!,MATCH(AC155,#REF!,0))*AD155,0))</f>
        <v>0</v>
      </c>
      <c r="AF155" s="7"/>
      <c r="AG155" s="74"/>
      <c r="AH155" s="101">
        <f>IF(OR(AF155="",AG155=""),0,IFERROR(INDEX(#REF!,MATCH(AF155,#REF!,0))*AG155,0))</f>
        <v>0</v>
      </c>
      <c r="AI155" s="7"/>
      <c r="AJ155" s="74"/>
      <c r="AK155" s="101">
        <f>IF(OR(AI155="",AJ155=""),0,IFERROR(INDEX(#REF!,MATCH(AI155,#REF!,0))*AJ155,0))</f>
        <v>0</v>
      </c>
      <c r="AL155" s="101">
        <f t="shared" si="24"/>
        <v>0</v>
      </c>
      <c r="AM155" s="7"/>
      <c r="AN155" s="72"/>
      <c r="AO155" s="99">
        <f>IF(OR(AM155="",AN155=""),0,IFERROR(INDEX(#REF!,MATCH(AM155,#REF!,0))*AN155,0))</f>
        <v>0</v>
      </c>
      <c r="AP155" s="7"/>
      <c r="AQ155" s="74"/>
      <c r="AR155" s="99">
        <f>IF(OR(AP155="",AQ155=""),0,IFERROR(INDEX(#REF!,MATCH(AP155,#REF!,0))*AQ155,0))</f>
        <v>0</v>
      </c>
      <c r="AS155" s="7"/>
      <c r="AT155" s="74"/>
      <c r="AU155" s="99">
        <f>IF(OR(AS155="",AT155=""),0,IFERROR(INDEX(#REF!,MATCH(AS155,#REF!,0))*AT155,0))</f>
        <v>0</v>
      </c>
      <c r="AV155" s="7"/>
      <c r="AW155" s="74"/>
      <c r="AX155" s="99">
        <f>IF(OR(AV155="",AW155=""),0,IFERROR(INDEX(#REF!,MATCH(AV155,#REF!,0))*AW155,0))</f>
        <v>0</v>
      </c>
      <c r="AY155" s="7"/>
      <c r="AZ155" s="77"/>
      <c r="BA155" s="99">
        <f>IF(OR(AY155="",AZ155=""),0,IFERROR(INDEX(#REF!,MATCH(AY155,#REF!,0))*AZ155,0))</f>
        <v>0</v>
      </c>
      <c r="BB155" s="100">
        <f t="shared" si="25"/>
        <v>0</v>
      </c>
      <c r="BC155" s="110" t="str">
        <f t="shared" si="26"/>
        <v/>
      </c>
      <c r="BD155" s="62"/>
    </row>
    <row r="156" spans="1:56" ht="19.5" customHeight="1" x14ac:dyDescent="0.45">
      <c r="A156" s="104" t="str">
        <f t="shared" si="27"/>
        <v/>
      </c>
      <c r="B156" s="5"/>
      <c r="C156" s="109"/>
      <c r="D156" s="107"/>
      <c r="E156" s="6"/>
      <c r="F156" s="85"/>
      <c r="G156" s="85"/>
      <c r="H156" s="104" t="str">
        <f t="shared" si="19"/>
        <v/>
      </c>
      <c r="I156" s="103" t="str">
        <f>IFERROR(INDEX(#REF!,MATCH(E156,#REF!,0)),"")</f>
        <v/>
      </c>
      <c r="J156" s="6"/>
      <c r="K156" s="103" t="str">
        <f t="shared" si="20"/>
        <v/>
      </c>
      <c r="L156" s="8"/>
      <c r="M156" s="102" t="str">
        <f t="shared" si="21"/>
        <v/>
      </c>
      <c r="N156" s="9"/>
      <c r="O156" s="103" t="str">
        <f t="shared" si="22"/>
        <v/>
      </c>
      <c r="P156" s="6"/>
      <c r="Q156" s="7"/>
      <c r="R156" s="10"/>
      <c r="S156" s="29" t="str">
        <f t="shared" ca="1" si="23"/>
        <v/>
      </c>
      <c r="T156" s="7"/>
      <c r="U156" s="74"/>
      <c r="V156" s="101">
        <f>IF(OR(T156="",U156=""),0,IFERROR(INDEX(#REF!,MATCH(T156,#REF!,0))*U156,0))</f>
        <v>0</v>
      </c>
      <c r="W156" s="7"/>
      <c r="X156" s="74"/>
      <c r="Y156" s="101">
        <f>IF(OR(W156="",X156=""),0,IFERROR(INDEX(#REF!,MATCH(W156,#REF!,0))*X156,0))</f>
        <v>0</v>
      </c>
      <c r="Z156" s="7"/>
      <c r="AA156" s="74"/>
      <c r="AB156" s="101">
        <f>IF(OR(Z156="",AA156=""),0,IFERROR(INDEX(#REF!,MATCH(Z156,#REF!,0))*AA156,0))</f>
        <v>0</v>
      </c>
      <c r="AC156" s="7"/>
      <c r="AD156" s="74"/>
      <c r="AE156" s="101">
        <f>IF(OR(AC156="",AD156=""),0,IFERROR(INDEX(#REF!,MATCH(AC156,#REF!,0))*AD156,0))</f>
        <v>0</v>
      </c>
      <c r="AF156" s="7"/>
      <c r="AG156" s="74"/>
      <c r="AH156" s="101">
        <f>IF(OR(AF156="",AG156=""),0,IFERROR(INDEX(#REF!,MATCH(AF156,#REF!,0))*AG156,0))</f>
        <v>0</v>
      </c>
      <c r="AI156" s="7"/>
      <c r="AJ156" s="74"/>
      <c r="AK156" s="101">
        <f>IF(OR(AI156="",AJ156=""),0,IFERROR(INDEX(#REF!,MATCH(AI156,#REF!,0))*AJ156,0))</f>
        <v>0</v>
      </c>
      <c r="AL156" s="101">
        <f t="shared" si="24"/>
        <v>0</v>
      </c>
      <c r="AM156" s="7"/>
      <c r="AN156" s="72"/>
      <c r="AO156" s="99">
        <f>IF(OR(AM156="",AN156=""),0,IFERROR(INDEX(#REF!,MATCH(AM156,#REF!,0))*AN156,0))</f>
        <v>0</v>
      </c>
      <c r="AP156" s="7"/>
      <c r="AQ156" s="74"/>
      <c r="AR156" s="99">
        <f>IF(OR(AP156="",AQ156=""),0,IFERROR(INDEX(#REF!,MATCH(AP156,#REF!,0))*AQ156,0))</f>
        <v>0</v>
      </c>
      <c r="AS156" s="7"/>
      <c r="AT156" s="74"/>
      <c r="AU156" s="99">
        <f>IF(OR(AS156="",AT156=""),0,IFERROR(INDEX(#REF!,MATCH(AS156,#REF!,0))*AT156,0))</f>
        <v>0</v>
      </c>
      <c r="AV156" s="7"/>
      <c r="AW156" s="74"/>
      <c r="AX156" s="99">
        <f>IF(OR(AV156="",AW156=""),0,IFERROR(INDEX(#REF!,MATCH(AV156,#REF!,0))*AW156,0))</f>
        <v>0</v>
      </c>
      <c r="AY156" s="7"/>
      <c r="AZ156" s="77"/>
      <c r="BA156" s="99">
        <f>IF(OR(AY156="",AZ156=""),0,IFERROR(INDEX(#REF!,MATCH(AY156,#REF!,0))*AZ156,0))</f>
        <v>0</v>
      </c>
      <c r="BB156" s="100">
        <f t="shared" si="25"/>
        <v>0</v>
      </c>
      <c r="BC156" s="110" t="str">
        <f t="shared" si="26"/>
        <v/>
      </c>
      <c r="BD156" s="62"/>
    </row>
    <row r="157" spans="1:56" ht="19.5" customHeight="1" x14ac:dyDescent="0.45">
      <c r="A157" s="104" t="str">
        <f t="shared" si="27"/>
        <v/>
      </c>
      <c r="B157" s="5"/>
      <c r="C157" s="109"/>
      <c r="D157" s="107"/>
      <c r="E157" s="6"/>
      <c r="F157" s="85"/>
      <c r="G157" s="85"/>
      <c r="H157" s="104" t="str">
        <f t="shared" si="19"/>
        <v/>
      </c>
      <c r="I157" s="103" t="str">
        <f>IFERROR(INDEX(#REF!,MATCH(E157,#REF!,0)),"")</f>
        <v/>
      </c>
      <c r="J157" s="6"/>
      <c r="K157" s="103" t="str">
        <f t="shared" si="20"/>
        <v/>
      </c>
      <c r="L157" s="8"/>
      <c r="M157" s="102" t="str">
        <f t="shared" si="21"/>
        <v/>
      </c>
      <c r="N157" s="9"/>
      <c r="O157" s="103" t="str">
        <f t="shared" si="22"/>
        <v/>
      </c>
      <c r="P157" s="6"/>
      <c r="Q157" s="7"/>
      <c r="R157" s="10"/>
      <c r="S157" s="29" t="str">
        <f t="shared" ca="1" si="23"/>
        <v/>
      </c>
      <c r="T157" s="7"/>
      <c r="U157" s="74"/>
      <c r="V157" s="101">
        <f>IF(OR(T157="",U157=""),0,IFERROR(INDEX(#REF!,MATCH(T157,#REF!,0))*U157,0))</f>
        <v>0</v>
      </c>
      <c r="W157" s="7"/>
      <c r="X157" s="74"/>
      <c r="Y157" s="101">
        <f>IF(OR(W157="",X157=""),0,IFERROR(INDEX(#REF!,MATCH(W157,#REF!,0))*X157,0))</f>
        <v>0</v>
      </c>
      <c r="Z157" s="7"/>
      <c r="AA157" s="74"/>
      <c r="AB157" s="101">
        <f>IF(OR(Z157="",AA157=""),0,IFERROR(INDEX(#REF!,MATCH(Z157,#REF!,0))*AA157,0))</f>
        <v>0</v>
      </c>
      <c r="AC157" s="7"/>
      <c r="AD157" s="74"/>
      <c r="AE157" s="101">
        <f>IF(OR(AC157="",AD157=""),0,IFERROR(INDEX(#REF!,MATCH(AC157,#REF!,0))*AD157,0))</f>
        <v>0</v>
      </c>
      <c r="AF157" s="7"/>
      <c r="AG157" s="74"/>
      <c r="AH157" s="101">
        <f>IF(OR(AF157="",AG157=""),0,IFERROR(INDEX(#REF!,MATCH(AF157,#REF!,0))*AG157,0))</f>
        <v>0</v>
      </c>
      <c r="AI157" s="7"/>
      <c r="AJ157" s="74"/>
      <c r="AK157" s="101">
        <f>IF(OR(AI157="",AJ157=""),0,IFERROR(INDEX(#REF!,MATCH(AI157,#REF!,0))*AJ157,0))</f>
        <v>0</v>
      </c>
      <c r="AL157" s="101">
        <f t="shared" si="24"/>
        <v>0</v>
      </c>
      <c r="AM157" s="7"/>
      <c r="AN157" s="72"/>
      <c r="AO157" s="99">
        <f>IF(OR(AM157="",AN157=""),0,IFERROR(INDEX(#REF!,MATCH(AM157,#REF!,0))*AN157,0))</f>
        <v>0</v>
      </c>
      <c r="AP157" s="7"/>
      <c r="AQ157" s="74"/>
      <c r="AR157" s="99">
        <f>IF(OR(AP157="",AQ157=""),0,IFERROR(INDEX(#REF!,MATCH(AP157,#REF!,0))*AQ157,0))</f>
        <v>0</v>
      </c>
      <c r="AS157" s="7"/>
      <c r="AT157" s="74"/>
      <c r="AU157" s="99">
        <f>IF(OR(AS157="",AT157=""),0,IFERROR(INDEX(#REF!,MATCH(AS157,#REF!,0))*AT157,0))</f>
        <v>0</v>
      </c>
      <c r="AV157" s="7"/>
      <c r="AW157" s="74"/>
      <c r="AX157" s="99">
        <f>IF(OR(AV157="",AW157=""),0,IFERROR(INDEX(#REF!,MATCH(AV157,#REF!,0))*AW157,0))</f>
        <v>0</v>
      </c>
      <c r="AY157" s="7"/>
      <c r="AZ157" s="77"/>
      <c r="BA157" s="99">
        <f>IF(OR(AY157="",AZ157=""),0,IFERROR(INDEX(#REF!,MATCH(AY157,#REF!,0))*AZ157,0))</f>
        <v>0</v>
      </c>
      <c r="BB157" s="100">
        <f t="shared" si="25"/>
        <v>0</v>
      </c>
      <c r="BC157" s="110" t="str">
        <f t="shared" si="26"/>
        <v/>
      </c>
      <c r="BD157" s="62"/>
    </row>
    <row r="158" spans="1:56" ht="19.5" customHeight="1" x14ac:dyDescent="0.45">
      <c r="A158" s="104" t="str">
        <f t="shared" si="27"/>
        <v/>
      </c>
      <c r="B158" s="5"/>
      <c r="C158" s="109"/>
      <c r="D158" s="107"/>
      <c r="E158" s="6"/>
      <c r="F158" s="85"/>
      <c r="G158" s="85"/>
      <c r="H158" s="104" t="str">
        <f t="shared" si="19"/>
        <v/>
      </c>
      <c r="I158" s="103" t="str">
        <f>IFERROR(INDEX(#REF!,MATCH(E158,#REF!,0)),"")</f>
        <v/>
      </c>
      <c r="J158" s="6"/>
      <c r="K158" s="103" t="str">
        <f t="shared" si="20"/>
        <v/>
      </c>
      <c r="L158" s="8"/>
      <c r="M158" s="102" t="str">
        <f t="shared" si="21"/>
        <v/>
      </c>
      <c r="N158" s="9"/>
      <c r="O158" s="103" t="str">
        <f t="shared" si="22"/>
        <v/>
      </c>
      <c r="P158" s="6"/>
      <c r="Q158" s="7"/>
      <c r="R158" s="10"/>
      <c r="S158" s="29" t="str">
        <f t="shared" ca="1" si="23"/>
        <v/>
      </c>
      <c r="T158" s="7"/>
      <c r="U158" s="74"/>
      <c r="V158" s="101">
        <f>IF(OR(T158="",U158=""),0,IFERROR(INDEX(#REF!,MATCH(T158,#REF!,0))*U158,0))</f>
        <v>0</v>
      </c>
      <c r="W158" s="7"/>
      <c r="X158" s="74"/>
      <c r="Y158" s="101">
        <f>IF(OR(W158="",X158=""),0,IFERROR(INDEX(#REF!,MATCH(W158,#REF!,0))*X158,0))</f>
        <v>0</v>
      </c>
      <c r="Z158" s="7"/>
      <c r="AA158" s="74"/>
      <c r="AB158" s="101">
        <f>IF(OR(Z158="",AA158=""),0,IFERROR(INDEX(#REF!,MATCH(Z158,#REF!,0))*AA158,0))</f>
        <v>0</v>
      </c>
      <c r="AC158" s="7"/>
      <c r="AD158" s="74"/>
      <c r="AE158" s="101">
        <f>IF(OR(AC158="",AD158=""),0,IFERROR(INDEX(#REF!,MATCH(AC158,#REF!,0))*AD158,0))</f>
        <v>0</v>
      </c>
      <c r="AF158" s="7"/>
      <c r="AG158" s="74"/>
      <c r="AH158" s="101">
        <f>IF(OR(AF158="",AG158=""),0,IFERROR(INDEX(#REF!,MATCH(AF158,#REF!,0))*AG158,0))</f>
        <v>0</v>
      </c>
      <c r="AI158" s="7"/>
      <c r="AJ158" s="74"/>
      <c r="AK158" s="101">
        <f>IF(OR(AI158="",AJ158=""),0,IFERROR(INDEX(#REF!,MATCH(AI158,#REF!,0))*AJ158,0))</f>
        <v>0</v>
      </c>
      <c r="AL158" s="101">
        <f t="shared" si="24"/>
        <v>0</v>
      </c>
      <c r="AM158" s="7"/>
      <c r="AN158" s="72"/>
      <c r="AO158" s="99">
        <f>IF(OR(AM158="",AN158=""),0,IFERROR(INDEX(#REF!,MATCH(AM158,#REF!,0))*AN158,0))</f>
        <v>0</v>
      </c>
      <c r="AP158" s="7"/>
      <c r="AQ158" s="74"/>
      <c r="AR158" s="99">
        <f>IF(OR(AP158="",AQ158=""),0,IFERROR(INDEX(#REF!,MATCH(AP158,#REF!,0))*AQ158,0))</f>
        <v>0</v>
      </c>
      <c r="AS158" s="7"/>
      <c r="AT158" s="74"/>
      <c r="AU158" s="99">
        <f>IF(OR(AS158="",AT158=""),0,IFERROR(INDEX(#REF!,MATCH(AS158,#REF!,0))*AT158,0))</f>
        <v>0</v>
      </c>
      <c r="AV158" s="7"/>
      <c r="AW158" s="74"/>
      <c r="AX158" s="99">
        <f>IF(OR(AV158="",AW158=""),0,IFERROR(INDEX(#REF!,MATCH(AV158,#REF!,0))*AW158,0))</f>
        <v>0</v>
      </c>
      <c r="AY158" s="7"/>
      <c r="AZ158" s="77"/>
      <c r="BA158" s="99">
        <f>IF(OR(AY158="",AZ158=""),0,IFERROR(INDEX(#REF!,MATCH(AY158,#REF!,0))*AZ158,0))</f>
        <v>0</v>
      </c>
      <c r="BB158" s="100">
        <f t="shared" si="25"/>
        <v>0</v>
      </c>
      <c r="BC158" s="110" t="str">
        <f t="shared" si="26"/>
        <v/>
      </c>
      <c r="BD158" s="62"/>
    </row>
    <row r="159" spans="1:56" ht="19.5" customHeight="1" x14ac:dyDescent="0.45">
      <c r="A159" s="104" t="str">
        <f t="shared" si="27"/>
        <v/>
      </c>
      <c r="B159" s="5"/>
      <c r="C159" s="109"/>
      <c r="D159" s="107"/>
      <c r="E159" s="6"/>
      <c r="F159" s="85"/>
      <c r="G159" s="85"/>
      <c r="H159" s="104" t="str">
        <f t="shared" si="19"/>
        <v/>
      </c>
      <c r="I159" s="103" t="str">
        <f>IFERROR(INDEX(#REF!,MATCH(E159,#REF!,0)),"")</f>
        <v/>
      </c>
      <c r="J159" s="6"/>
      <c r="K159" s="103" t="str">
        <f t="shared" si="20"/>
        <v/>
      </c>
      <c r="L159" s="8"/>
      <c r="M159" s="102" t="str">
        <f t="shared" si="21"/>
        <v/>
      </c>
      <c r="N159" s="9"/>
      <c r="O159" s="103" t="str">
        <f t="shared" si="22"/>
        <v/>
      </c>
      <c r="P159" s="6"/>
      <c r="Q159" s="7"/>
      <c r="R159" s="10"/>
      <c r="S159" s="29" t="str">
        <f t="shared" ca="1" si="23"/>
        <v/>
      </c>
      <c r="T159" s="7"/>
      <c r="U159" s="74"/>
      <c r="V159" s="101">
        <f>IF(OR(T159="",U159=""),0,IFERROR(INDEX(#REF!,MATCH(T159,#REF!,0))*U159,0))</f>
        <v>0</v>
      </c>
      <c r="W159" s="7"/>
      <c r="X159" s="74"/>
      <c r="Y159" s="101">
        <f>IF(OR(W159="",X159=""),0,IFERROR(INDEX(#REF!,MATCH(W159,#REF!,0))*X159,0))</f>
        <v>0</v>
      </c>
      <c r="Z159" s="7"/>
      <c r="AA159" s="74"/>
      <c r="AB159" s="101">
        <f>IF(OR(Z159="",AA159=""),0,IFERROR(INDEX(#REF!,MATCH(Z159,#REF!,0))*AA159,0))</f>
        <v>0</v>
      </c>
      <c r="AC159" s="7"/>
      <c r="AD159" s="74"/>
      <c r="AE159" s="101">
        <f>IF(OR(AC159="",AD159=""),0,IFERROR(INDEX(#REF!,MATCH(AC159,#REF!,0))*AD159,0))</f>
        <v>0</v>
      </c>
      <c r="AF159" s="7"/>
      <c r="AG159" s="74"/>
      <c r="AH159" s="101">
        <f>IF(OR(AF159="",AG159=""),0,IFERROR(INDEX(#REF!,MATCH(AF159,#REF!,0))*AG159,0))</f>
        <v>0</v>
      </c>
      <c r="AI159" s="7"/>
      <c r="AJ159" s="74"/>
      <c r="AK159" s="101">
        <f>IF(OR(AI159="",AJ159=""),0,IFERROR(INDEX(#REF!,MATCH(AI159,#REF!,0))*AJ159,0))</f>
        <v>0</v>
      </c>
      <c r="AL159" s="101">
        <f t="shared" si="24"/>
        <v>0</v>
      </c>
      <c r="AM159" s="7"/>
      <c r="AN159" s="72"/>
      <c r="AO159" s="99">
        <f>IF(OR(AM159="",AN159=""),0,IFERROR(INDEX(#REF!,MATCH(AM159,#REF!,0))*AN159,0))</f>
        <v>0</v>
      </c>
      <c r="AP159" s="7"/>
      <c r="AQ159" s="74"/>
      <c r="AR159" s="99">
        <f>IF(OR(AP159="",AQ159=""),0,IFERROR(INDEX(#REF!,MATCH(AP159,#REF!,0))*AQ159,0))</f>
        <v>0</v>
      </c>
      <c r="AS159" s="7"/>
      <c r="AT159" s="74"/>
      <c r="AU159" s="99">
        <f>IF(OR(AS159="",AT159=""),0,IFERROR(INDEX(#REF!,MATCH(AS159,#REF!,0))*AT159,0))</f>
        <v>0</v>
      </c>
      <c r="AV159" s="7"/>
      <c r="AW159" s="74"/>
      <c r="AX159" s="99">
        <f>IF(OR(AV159="",AW159=""),0,IFERROR(INDEX(#REF!,MATCH(AV159,#REF!,0))*AW159,0))</f>
        <v>0</v>
      </c>
      <c r="AY159" s="7"/>
      <c r="AZ159" s="77"/>
      <c r="BA159" s="99">
        <f>IF(OR(AY159="",AZ159=""),0,IFERROR(INDEX(#REF!,MATCH(AY159,#REF!,0))*AZ159,0))</f>
        <v>0</v>
      </c>
      <c r="BB159" s="100">
        <f t="shared" si="25"/>
        <v>0</v>
      </c>
      <c r="BC159" s="110" t="str">
        <f t="shared" si="26"/>
        <v/>
      </c>
      <c r="BD159" s="62"/>
    </row>
    <row r="160" spans="1:56" ht="19.5" customHeight="1" x14ac:dyDescent="0.45">
      <c r="A160" s="104" t="str">
        <f t="shared" si="27"/>
        <v/>
      </c>
      <c r="B160" s="5"/>
      <c r="C160" s="109"/>
      <c r="D160" s="107"/>
      <c r="E160" s="6"/>
      <c r="F160" s="85"/>
      <c r="G160" s="85"/>
      <c r="H160" s="104" t="str">
        <f t="shared" si="19"/>
        <v/>
      </c>
      <c r="I160" s="103" t="str">
        <f>IFERROR(INDEX(#REF!,MATCH(E160,#REF!,0)),"")</f>
        <v/>
      </c>
      <c r="J160" s="6"/>
      <c r="K160" s="103" t="str">
        <f t="shared" si="20"/>
        <v/>
      </c>
      <c r="L160" s="8"/>
      <c r="M160" s="102" t="str">
        <f t="shared" si="21"/>
        <v/>
      </c>
      <c r="N160" s="9"/>
      <c r="O160" s="103" t="str">
        <f t="shared" si="22"/>
        <v/>
      </c>
      <c r="P160" s="6"/>
      <c r="Q160" s="7"/>
      <c r="R160" s="10"/>
      <c r="S160" s="29" t="str">
        <f t="shared" ca="1" si="23"/>
        <v/>
      </c>
      <c r="T160" s="7"/>
      <c r="U160" s="74"/>
      <c r="V160" s="101">
        <f>IF(OR(T160="",U160=""),0,IFERROR(INDEX(#REF!,MATCH(T160,#REF!,0))*U160,0))</f>
        <v>0</v>
      </c>
      <c r="W160" s="7"/>
      <c r="X160" s="74"/>
      <c r="Y160" s="101">
        <f>IF(OR(W160="",X160=""),0,IFERROR(INDEX(#REF!,MATCH(W160,#REF!,0))*X160,0))</f>
        <v>0</v>
      </c>
      <c r="Z160" s="7"/>
      <c r="AA160" s="74"/>
      <c r="AB160" s="101">
        <f>IF(OR(Z160="",AA160=""),0,IFERROR(INDEX(#REF!,MATCH(Z160,#REF!,0))*AA160,0))</f>
        <v>0</v>
      </c>
      <c r="AC160" s="7"/>
      <c r="AD160" s="74"/>
      <c r="AE160" s="101">
        <f>IF(OR(AC160="",AD160=""),0,IFERROR(INDEX(#REF!,MATCH(AC160,#REF!,0))*AD160,0))</f>
        <v>0</v>
      </c>
      <c r="AF160" s="7"/>
      <c r="AG160" s="74"/>
      <c r="AH160" s="101">
        <f>IF(OR(AF160="",AG160=""),0,IFERROR(INDEX(#REF!,MATCH(AF160,#REF!,0))*AG160,0))</f>
        <v>0</v>
      </c>
      <c r="AI160" s="7"/>
      <c r="AJ160" s="74"/>
      <c r="AK160" s="101">
        <f>IF(OR(AI160="",AJ160=""),0,IFERROR(INDEX(#REF!,MATCH(AI160,#REF!,0))*AJ160,0))</f>
        <v>0</v>
      </c>
      <c r="AL160" s="101">
        <f t="shared" si="24"/>
        <v>0</v>
      </c>
      <c r="AM160" s="7"/>
      <c r="AN160" s="72"/>
      <c r="AO160" s="99">
        <f>IF(OR(AM160="",AN160=""),0,IFERROR(INDEX(#REF!,MATCH(AM160,#REF!,0))*AN160,0))</f>
        <v>0</v>
      </c>
      <c r="AP160" s="7"/>
      <c r="AQ160" s="74"/>
      <c r="AR160" s="99">
        <f>IF(OR(AP160="",AQ160=""),0,IFERROR(INDEX(#REF!,MATCH(AP160,#REF!,0))*AQ160,0))</f>
        <v>0</v>
      </c>
      <c r="AS160" s="7"/>
      <c r="AT160" s="74"/>
      <c r="AU160" s="99">
        <f>IF(OR(AS160="",AT160=""),0,IFERROR(INDEX(#REF!,MATCH(AS160,#REF!,0))*AT160,0))</f>
        <v>0</v>
      </c>
      <c r="AV160" s="7"/>
      <c r="AW160" s="74"/>
      <c r="AX160" s="99">
        <f>IF(OR(AV160="",AW160=""),0,IFERROR(INDEX(#REF!,MATCH(AV160,#REF!,0))*AW160,0))</f>
        <v>0</v>
      </c>
      <c r="AY160" s="7"/>
      <c r="AZ160" s="77"/>
      <c r="BA160" s="99">
        <f>IF(OR(AY160="",AZ160=""),0,IFERROR(INDEX(#REF!,MATCH(AY160,#REF!,0))*AZ160,0))</f>
        <v>0</v>
      </c>
      <c r="BB160" s="100">
        <f t="shared" si="25"/>
        <v>0</v>
      </c>
      <c r="BC160" s="110" t="str">
        <f t="shared" si="26"/>
        <v/>
      </c>
      <c r="BD160" s="62"/>
    </row>
    <row r="161" spans="1:56" ht="19.5" customHeight="1" x14ac:dyDescent="0.45">
      <c r="A161" s="104" t="str">
        <f t="shared" si="27"/>
        <v/>
      </c>
      <c r="B161" s="5"/>
      <c r="C161" s="109"/>
      <c r="D161" s="107"/>
      <c r="E161" s="6"/>
      <c r="F161" s="85"/>
      <c r="G161" s="85"/>
      <c r="H161" s="104" t="str">
        <f t="shared" si="19"/>
        <v/>
      </c>
      <c r="I161" s="103" t="str">
        <f>IFERROR(INDEX(#REF!,MATCH(E161,#REF!,0)),"")</f>
        <v/>
      </c>
      <c r="J161" s="6"/>
      <c r="K161" s="103" t="str">
        <f t="shared" si="20"/>
        <v/>
      </c>
      <c r="L161" s="8"/>
      <c r="M161" s="102" t="str">
        <f t="shared" si="21"/>
        <v/>
      </c>
      <c r="N161" s="9"/>
      <c r="O161" s="103" t="str">
        <f t="shared" si="22"/>
        <v/>
      </c>
      <c r="P161" s="6"/>
      <c r="Q161" s="7"/>
      <c r="R161" s="10"/>
      <c r="S161" s="29" t="str">
        <f t="shared" ca="1" si="23"/>
        <v/>
      </c>
      <c r="T161" s="7"/>
      <c r="U161" s="74"/>
      <c r="V161" s="101">
        <f>IF(OR(T161="",U161=""),0,IFERROR(INDEX(#REF!,MATCH(T161,#REF!,0))*U161,0))</f>
        <v>0</v>
      </c>
      <c r="W161" s="7"/>
      <c r="X161" s="74"/>
      <c r="Y161" s="101">
        <f>IF(OR(W161="",X161=""),0,IFERROR(INDEX(#REF!,MATCH(W161,#REF!,0))*X161,0))</f>
        <v>0</v>
      </c>
      <c r="Z161" s="7"/>
      <c r="AA161" s="74"/>
      <c r="AB161" s="101">
        <f>IF(OR(Z161="",AA161=""),0,IFERROR(INDEX(#REF!,MATCH(Z161,#REF!,0))*AA161,0))</f>
        <v>0</v>
      </c>
      <c r="AC161" s="7"/>
      <c r="AD161" s="74"/>
      <c r="AE161" s="101">
        <f>IF(OR(AC161="",AD161=""),0,IFERROR(INDEX(#REF!,MATCH(AC161,#REF!,0))*AD161,0))</f>
        <v>0</v>
      </c>
      <c r="AF161" s="7"/>
      <c r="AG161" s="74"/>
      <c r="AH161" s="101">
        <f>IF(OR(AF161="",AG161=""),0,IFERROR(INDEX(#REF!,MATCH(AF161,#REF!,0))*AG161,0))</f>
        <v>0</v>
      </c>
      <c r="AI161" s="7"/>
      <c r="AJ161" s="74"/>
      <c r="AK161" s="101">
        <f>IF(OR(AI161="",AJ161=""),0,IFERROR(INDEX(#REF!,MATCH(AI161,#REF!,0))*AJ161,0))</f>
        <v>0</v>
      </c>
      <c r="AL161" s="101">
        <f t="shared" si="24"/>
        <v>0</v>
      </c>
      <c r="AM161" s="7"/>
      <c r="AN161" s="72"/>
      <c r="AO161" s="99">
        <f>IF(OR(AM161="",AN161=""),0,IFERROR(INDEX(#REF!,MATCH(AM161,#REF!,0))*AN161,0))</f>
        <v>0</v>
      </c>
      <c r="AP161" s="7"/>
      <c r="AQ161" s="74"/>
      <c r="AR161" s="99">
        <f>IF(OR(AP161="",AQ161=""),0,IFERROR(INDEX(#REF!,MATCH(AP161,#REF!,0))*AQ161,0))</f>
        <v>0</v>
      </c>
      <c r="AS161" s="7"/>
      <c r="AT161" s="74"/>
      <c r="AU161" s="99">
        <f>IF(OR(AS161="",AT161=""),0,IFERROR(INDEX(#REF!,MATCH(AS161,#REF!,0))*AT161,0))</f>
        <v>0</v>
      </c>
      <c r="AV161" s="7"/>
      <c r="AW161" s="74"/>
      <c r="AX161" s="99">
        <f>IF(OR(AV161="",AW161=""),0,IFERROR(INDEX(#REF!,MATCH(AV161,#REF!,0))*AW161,0))</f>
        <v>0</v>
      </c>
      <c r="AY161" s="7"/>
      <c r="AZ161" s="77"/>
      <c r="BA161" s="99">
        <f>IF(OR(AY161="",AZ161=""),0,IFERROR(INDEX(#REF!,MATCH(AY161,#REF!,0))*AZ161,0))</f>
        <v>0</v>
      </c>
      <c r="BB161" s="100">
        <f t="shared" si="25"/>
        <v>0</v>
      </c>
      <c r="BC161" s="110" t="str">
        <f t="shared" si="26"/>
        <v/>
      </c>
      <c r="BD161" s="62"/>
    </row>
    <row r="162" spans="1:56" ht="19.5" customHeight="1" x14ac:dyDescent="0.45">
      <c r="A162" s="104" t="str">
        <f t="shared" si="27"/>
        <v/>
      </c>
      <c r="B162" s="5"/>
      <c r="C162" s="109"/>
      <c r="D162" s="107"/>
      <c r="E162" s="6"/>
      <c r="F162" s="85"/>
      <c r="G162" s="85"/>
      <c r="H162" s="104" t="str">
        <f t="shared" si="19"/>
        <v/>
      </c>
      <c r="I162" s="103" t="str">
        <f>IFERROR(INDEX(#REF!,MATCH(E162,#REF!,0)),"")</f>
        <v/>
      </c>
      <c r="J162" s="6"/>
      <c r="K162" s="103" t="str">
        <f t="shared" si="20"/>
        <v/>
      </c>
      <c r="L162" s="8"/>
      <c r="M162" s="102" t="str">
        <f t="shared" si="21"/>
        <v/>
      </c>
      <c r="N162" s="9"/>
      <c r="O162" s="103" t="str">
        <f t="shared" si="22"/>
        <v/>
      </c>
      <c r="P162" s="6"/>
      <c r="Q162" s="7"/>
      <c r="R162" s="10"/>
      <c r="S162" s="29" t="str">
        <f t="shared" ca="1" si="23"/>
        <v/>
      </c>
      <c r="T162" s="7"/>
      <c r="U162" s="74"/>
      <c r="V162" s="101">
        <f>IF(OR(T162="",U162=""),0,IFERROR(INDEX(#REF!,MATCH(T162,#REF!,0))*U162,0))</f>
        <v>0</v>
      </c>
      <c r="W162" s="7"/>
      <c r="X162" s="74"/>
      <c r="Y162" s="101">
        <f>IF(OR(W162="",X162=""),0,IFERROR(INDEX(#REF!,MATCH(W162,#REF!,0))*X162,0))</f>
        <v>0</v>
      </c>
      <c r="Z162" s="7"/>
      <c r="AA162" s="74"/>
      <c r="AB162" s="101">
        <f>IF(OR(Z162="",AA162=""),0,IFERROR(INDEX(#REF!,MATCH(Z162,#REF!,0))*AA162,0))</f>
        <v>0</v>
      </c>
      <c r="AC162" s="7"/>
      <c r="AD162" s="74"/>
      <c r="AE162" s="101">
        <f>IF(OR(AC162="",AD162=""),0,IFERROR(INDEX(#REF!,MATCH(AC162,#REF!,0))*AD162,0))</f>
        <v>0</v>
      </c>
      <c r="AF162" s="7"/>
      <c r="AG162" s="74"/>
      <c r="AH162" s="101">
        <f>IF(OR(AF162="",AG162=""),0,IFERROR(INDEX(#REF!,MATCH(AF162,#REF!,0))*AG162,0))</f>
        <v>0</v>
      </c>
      <c r="AI162" s="7"/>
      <c r="AJ162" s="74"/>
      <c r="AK162" s="101">
        <f>IF(OR(AI162="",AJ162=""),0,IFERROR(INDEX(#REF!,MATCH(AI162,#REF!,0))*AJ162,0))</f>
        <v>0</v>
      </c>
      <c r="AL162" s="101">
        <f t="shared" si="24"/>
        <v>0</v>
      </c>
      <c r="AM162" s="7"/>
      <c r="AN162" s="72"/>
      <c r="AO162" s="99">
        <f>IF(OR(AM162="",AN162=""),0,IFERROR(INDEX(#REF!,MATCH(AM162,#REF!,0))*AN162,0))</f>
        <v>0</v>
      </c>
      <c r="AP162" s="7"/>
      <c r="AQ162" s="74"/>
      <c r="AR162" s="99">
        <f>IF(OR(AP162="",AQ162=""),0,IFERROR(INDEX(#REF!,MATCH(AP162,#REF!,0))*AQ162,0))</f>
        <v>0</v>
      </c>
      <c r="AS162" s="7"/>
      <c r="AT162" s="74"/>
      <c r="AU162" s="99">
        <f>IF(OR(AS162="",AT162=""),0,IFERROR(INDEX(#REF!,MATCH(AS162,#REF!,0))*AT162,0))</f>
        <v>0</v>
      </c>
      <c r="AV162" s="7"/>
      <c r="AW162" s="74"/>
      <c r="AX162" s="99">
        <f>IF(OR(AV162="",AW162=""),0,IFERROR(INDEX(#REF!,MATCH(AV162,#REF!,0))*AW162,0))</f>
        <v>0</v>
      </c>
      <c r="AY162" s="7"/>
      <c r="AZ162" s="77"/>
      <c r="BA162" s="99">
        <f>IF(OR(AY162="",AZ162=""),0,IFERROR(INDEX(#REF!,MATCH(AY162,#REF!,0))*AZ162,0))</f>
        <v>0</v>
      </c>
      <c r="BB162" s="100">
        <f t="shared" si="25"/>
        <v>0</v>
      </c>
      <c r="BC162" s="110" t="str">
        <f t="shared" si="26"/>
        <v/>
      </c>
      <c r="BD162" s="62"/>
    </row>
    <row r="163" spans="1:56" ht="19.5" customHeight="1" x14ac:dyDescent="0.45">
      <c r="A163" s="104" t="str">
        <f t="shared" si="27"/>
        <v/>
      </c>
      <c r="B163" s="5"/>
      <c r="C163" s="109"/>
      <c r="D163" s="107"/>
      <c r="E163" s="6"/>
      <c r="F163" s="85"/>
      <c r="G163" s="85"/>
      <c r="H163" s="104" t="str">
        <f t="shared" si="19"/>
        <v/>
      </c>
      <c r="I163" s="103" t="str">
        <f>IFERROR(INDEX(#REF!,MATCH(E163,#REF!,0)),"")</f>
        <v/>
      </c>
      <c r="J163" s="6"/>
      <c r="K163" s="103" t="str">
        <f t="shared" si="20"/>
        <v/>
      </c>
      <c r="L163" s="8"/>
      <c r="M163" s="102" t="str">
        <f t="shared" si="21"/>
        <v/>
      </c>
      <c r="N163" s="9"/>
      <c r="O163" s="103" t="str">
        <f t="shared" si="22"/>
        <v/>
      </c>
      <c r="P163" s="6"/>
      <c r="Q163" s="7"/>
      <c r="R163" s="10"/>
      <c r="S163" s="29" t="str">
        <f t="shared" ca="1" si="23"/>
        <v/>
      </c>
      <c r="T163" s="7"/>
      <c r="U163" s="74"/>
      <c r="V163" s="101">
        <f>IF(OR(T163="",U163=""),0,IFERROR(INDEX(#REF!,MATCH(T163,#REF!,0))*U163,0))</f>
        <v>0</v>
      </c>
      <c r="W163" s="7"/>
      <c r="X163" s="74"/>
      <c r="Y163" s="101">
        <f>IF(OR(W163="",X163=""),0,IFERROR(INDEX(#REF!,MATCH(W163,#REF!,0))*X163,0))</f>
        <v>0</v>
      </c>
      <c r="Z163" s="7"/>
      <c r="AA163" s="74"/>
      <c r="AB163" s="101">
        <f>IF(OR(Z163="",AA163=""),0,IFERROR(INDEX(#REF!,MATCH(Z163,#REF!,0))*AA163,0))</f>
        <v>0</v>
      </c>
      <c r="AC163" s="7"/>
      <c r="AD163" s="74"/>
      <c r="AE163" s="101">
        <f>IF(OR(AC163="",AD163=""),0,IFERROR(INDEX(#REF!,MATCH(AC163,#REF!,0))*AD163,0))</f>
        <v>0</v>
      </c>
      <c r="AF163" s="7"/>
      <c r="AG163" s="74"/>
      <c r="AH163" s="101">
        <f>IF(OR(AF163="",AG163=""),0,IFERROR(INDEX(#REF!,MATCH(AF163,#REF!,0))*AG163,0))</f>
        <v>0</v>
      </c>
      <c r="AI163" s="7"/>
      <c r="AJ163" s="74"/>
      <c r="AK163" s="101">
        <f>IF(OR(AI163="",AJ163=""),0,IFERROR(INDEX(#REF!,MATCH(AI163,#REF!,0))*AJ163,0))</f>
        <v>0</v>
      </c>
      <c r="AL163" s="101">
        <f t="shared" si="24"/>
        <v>0</v>
      </c>
      <c r="AM163" s="7"/>
      <c r="AN163" s="72"/>
      <c r="AO163" s="99">
        <f>IF(OR(AM163="",AN163=""),0,IFERROR(INDEX(#REF!,MATCH(AM163,#REF!,0))*AN163,0))</f>
        <v>0</v>
      </c>
      <c r="AP163" s="7"/>
      <c r="AQ163" s="74"/>
      <c r="AR163" s="99">
        <f>IF(OR(AP163="",AQ163=""),0,IFERROR(INDEX(#REF!,MATCH(AP163,#REF!,0))*AQ163,0))</f>
        <v>0</v>
      </c>
      <c r="AS163" s="7"/>
      <c r="AT163" s="74"/>
      <c r="AU163" s="99">
        <f>IF(OR(AS163="",AT163=""),0,IFERROR(INDEX(#REF!,MATCH(AS163,#REF!,0))*AT163,0))</f>
        <v>0</v>
      </c>
      <c r="AV163" s="7"/>
      <c r="AW163" s="74"/>
      <c r="AX163" s="99">
        <f>IF(OR(AV163="",AW163=""),0,IFERROR(INDEX(#REF!,MATCH(AV163,#REF!,0))*AW163,0))</f>
        <v>0</v>
      </c>
      <c r="AY163" s="7"/>
      <c r="AZ163" s="77"/>
      <c r="BA163" s="99">
        <f>IF(OR(AY163="",AZ163=""),0,IFERROR(INDEX(#REF!,MATCH(AY163,#REF!,0))*AZ163,0))</f>
        <v>0</v>
      </c>
      <c r="BB163" s="100">
        <f t="shared" si="25"/>
        <v>0</v>
      </c>
      <c r="BC163" s="110" t="str">
        <f t="shared" si="26"/>
        <v/>
      </c>
      <c r="BD163" s="62"/>
    </row>
    <row r="164" spans="1:56" ht="19.5" customHeight="1" x14ac:dyDescent="0.45">
      <c r="A164" s="104" t="str">
        <f t="shared" si="27"/>
        <v/>
      </c>
      <c r="B164" s="5"/>
      <c r="C164" s="109"/>
      <c r="D164" s="107"/>
      <c r="E164" s="6"/>
      <c r="F164" s="85"/>
      <c r="G164" s="85"/>
      <c r="H164" s="104" t="str">
        <f t="shared" si="19"/>
        <v/>
      </c>
      <c r="I164" s="103" t="str">
        <f>IFERROR(INDEX(#REF!,MATCH(E164,#REF!,0)),"")</f>
        <v/>
      </c>
      <c r="J164" s="6"/>
      <c r="K164" s="103" t="str">
        <f t="shared" si="20"/>
        <v/>
      </c>
      <c r="L164" s="8"/>
      <c r="M164" s="102" t="str">
        <f t="shared" si="21"/>
        <v/>
      </c>
      <c r="N164" s="9"/>
      <c r="O164" s="103" t="str">
        <f t="shared" si="22"/>
        <v/>
      </c>
      <c r="P164" s="6"/>
      <c r="Q164" s="7"/>
      <c r="R164" s="10"/>
      <c r="S164" s="29" t="str">
        <f t="shared" ca="1" si="23"/>
        <v/>
      </c>
      <c r="T164" s="7"/>
      <c r="U164" s="74"/>
      <c r="V164" s="101">
        <f>IF(OR(T164="",U164=""),0,IFERROR(INDEX(#REF!,MATCH(T164,#REF!,0))*U164,0))</f>
        <v>0</v>
      </c>
      <c r="W164" s="7"/>
      <c r="X164" s="74"/>
      <c r="Y164" s="101">
        <f>IF(OR(W164="",X164=""),0,IFERROR(INDEX(#REF!,MATCH(W164,#REF!,0))*X164,0))</f>
        <v>0</v>
      </c>
      <c r="Z164" s="7"/>
      <c r="AA164" s="74"/>
      <c r="AB164" s="101">
        <f>IF(OR(Z164="",AA164=""),0,IFERROR(INDEX(#REF!,MATCH(Z164,#REF!,0))*AA164,0))</f>
        <v>0</v>
      </c>
      <c r="AC164" s="7"/>
      <c r="AD164" s="74"/>
      <c r="AE164" s="101">
        <f>IF(OR(AC164="",AD164=""),0,IFERROR(INDEX(#REF!,MATCH(AC164,#REF!,0))*AD164,0))</f>
        <v>0</v>
      </c>
      <c r="AF164" s="7"/>
      <c r="AG164" s="74"/>
      <c r="AH164" s="101">
        <f>IF(OR(AF164="",AG164=""),0,IFERROR(INDEX(#REF!,MATCH(AF164,#REF!,0))*AG164,0))</f>
        <v>0</v>
      </c>
      <c r="AI164" s="7"/>
      <c r="AJ164" s="74"/>
      <c r="AK164" s="101">
        <f>IF(OR(AI164="",AJ164=""),0,IFERROR(INDEX(#REF!,MATCH(AI164,#REF!,0))*AJ164,0))</f>
        <v>0</v>
      </c>
      <c r="AL164" s="101">
        <f t="shared" si="24"/>
        <v>0</v>
      </c>
      <c r="AM164" s="7"/>
      <c r="AN164" s="72"/>
      <c r="AO164" s="99">
        <f>IF(OR(AM164="",AN164=""),0,IFERROR(INDEX(#REF!,MATCH(AM164,#REF!,0))*AN164,0))</f>
        <v>0</v>
      </c>
      <c r="AP164" s="7"/>
      <c r="AQ164" s="74"/>
      <c r="AR164" s="99">
        <f>IF(OR(AP164="",AQ164=""),0,IFERROR(INDEX(#REF!,MATCH(AP164,#REF!,0))*AQ164,0))</f>
        <v>0</v>
      </c>
      <c r="AS164" s="7"/>
      <c r="AT164" s="74"/>
      <c r="AU164" s="99">
        <f>IF(OR(AS164="",AT164=""),0,IFERROR(INDEX(#REF!,MATCH(AS164,#REF!,0))*AT164,0))</f>
        <v>0</v>
      </c>
      <c r="AV164" s="7"/>
      <c r="AW164" s="74"/>
      <c r="AX164" s="99">
        <f>IF(OR(AV164="",AW164=""),0,IFERROR(INDEX(#REF!,MATCH(AV164,#REF!,0))*AW164,0))</f>
        <v>0</v>
      </c>
      <c r="AY164" s="7"/>
      <c r="AZ164" s="77"/>
      <c r="BA164" s="99">
        <f>IF(OR(AY164="",AZ164=""),0,IFERROR(INDEX(#REF!,MATCH(AY164,#REF!,0))*AZ164,0))</f>
        <v>0</v>
      </c>
      <c r="BB164" s="100">
        <f t="shared" si="25"/>
        <v>0</v>
      </c>
      <c r="BC164" s="110" t="str">
        <f t="shared" si="26"/>
        <v/>
      </c>
      <c r="BD164" s="62"/>
    </row>
    <row r="165" spans="1:56" ht="19.5" customHeight="1" x14ac:dyDescent="0.45">
      <c r="A165" s="104" t="str">
        <f t="shared" si="27"/>
        <v/>
      </c>
      <c r="B165" s="5"/>
      <c r="C165" s="109"/>
      <c r="D165" s="107"/>
      <c r="E165" s="6"/>
      <c r="F165" s="85"/>
      <c r="G165" s="85"/>
      <c r="H165" s="104" t="str">
        <f t="shared" si="19"/>
        <v/>
      </c>
      <c r="I165" s="103" t="str">
        <f>IFERROR(INDEX(#REF!,MATCH(E165,#REF!,0)),"")</f>
        <v/>
      </c>
      <c r="J165" s="6"/>
      <c r="K165" s="103" t="str">
        <f t="shared" si="20"/>
        <v/>
      </c>
      <c r="L165" s="8"/>
      <c r="M165" s="102" t="str">
        <f t="shared" si="21"/>
        <v/>
      </c>
      <c r="N165" s="9"/>
      <c r="O165" s="103" t="str">
        <f t="shared" si="22"/>
        <v/>
      </c>
      <c r="P165" s="6"/>
      <c r="Q165" s="7"/>
      <c r="R165" s="10"/>
      <c r="S165" s="29" t="str">
        <f t="shared" ca="1" si="23"/>
        <v/>
      </c>
      <c r="T165" s="7"/>
      <c r="U165" s="74"/>
      <c r="V165" s="101">
        <f>IF(OR(T165="",U165=""),0,IFERROR(INDEX(#REF!,MATCH(T165,#REF!,0))*U165,0))</f>
        <v>0</v>
      </c>
      <c r="W165" s="7"/>
      <c r="X165" s="74"/>
      <c r="Y165" s="101">
        <f>IF(OR(W165="",X165=""),0,IFERROR(INDEX(#REF!,MATCH(W165,#REF!,0))*X165,0))</f>
        <v>0</v>
      </c>
      <c r="Z165" s="7"/>
      <c r="AA165" s="74"/>
      <c r="AB165" s="101">
        <f>IF(OR(Z165="",AA165=""),0,IFERROR(INDEX(#REF!,MATCH(Z165,#REF!,0))*AA165,0))</f>
        <v>0</v>
      </c>
      <c r="AC165" s="7"/>
      <c r="AD165" s="74"/>
      <c r="AE165" s="101">
        <f>IF(OR(AC165="",AD165=""),0,IFERROR(INDEX(#REF!,MATCH(AC165,#REF!,0))*AD165,0))</f>
        <v>0</v>
      </c>
      <c r="AF165" s="7"/>
      <c r="AG165" s="74"/>
      <c r="AH165" s="101">
        <f>IF(OR(AF165="",AG165=""),0,IFERROR(INDEX(#REF!,MATCH(AF165,#REF!,0))*AG165,0))</f>
        <v>0</v>
      </c>
      <c r="AI165" s="7"/>
      <c r="AJ165" s="74"/>
      <c r="AK165" s="101">
        <f>IF(OR(AI165="",AJ165=""),0,IFERROR(INDEX(#REF!,MATCH(AI165,#REF!,0))*AJ165,0))</f>
        <v>0</v>
      </c>
      <c r="AL165" s="101">
        <f t="shared" si="24"/>
        <v>0</v>
      </c>
      <c r="AM165" s="7"/>
      <c r="AN165" s="72"/>
      <c r="AO165" s="99">
        <f>IF(OR(AM165="",AN165=""),0,IFERROR(INDEX(#REF!,MATCH(AM165,#REF!,0))*AN165,0))</f>
        <v>0</v>
      </c>
      <c r="AP165" s="7"/>
      <c r="AQ165" s="74"/>
      <c r="AR165" s="99">
        <f>IF(OR(AP165="",AQ165=""),0,IFERROR(INDEX(#REF!,MATCH(AP165,#REF!,0))*AQ165,0))</f>
        <v>0</v>
      </c>
      <c r="AS165" s="7"/>
      <c r="AT165" s="74"/>
      <c r="AU165" s="99">
        <f>IF(OR(AS165="",AT165=""),0,IFERROR(INDEX(#REF!,MATCH(AS165,#REF!,0))*AT165,0))</f>
        <v>0</v>
      </c>
      <c r="AV165" s="7"/>
      <c r="AW165" s="74"/>
      <c r="AX165" s="99">
        <f>IF(OR(AV165="",AW165=""),0,IFERROR(INDEX(#REF!,MATCH(AV165,#REF!,0))*AW165,0))</f>
        <v>0</v>
      </c>
      <c r="AY165" s="7"/>
      <c r="AZ165" s="77"/>
      <c r="BA165" s="99">
        <f>IF(OR(AY165="",AZ165=""),0,IFERROR(INDEX(#REF!,MATCH(AY165,#REF!,0))*AZ165,0))</f>
        <v>0</v>
      </c>
      <c r="BB165" s="100">
        <f t="shared" si="25"/>
        <v>0</v>
      </c>
      <c r="BC165" s="110" t="str">
        <f t="shared" si="26"/>
        <v/>
      </c>
      <c r="BD165" s="62"/>
    </row>
    <row r="166" spans="1:56" ht="19.5" customHeight="1" x14ac:dyDescent="0.45">
      <c r="A166" s="104" t="str">
        <f t="shared" si="27"/>
        <v/>
      </c>
      <c r="B166" s="5"/>
      <c r="C166" s="109"/>
      <c r="D166" s="107"/>
      <c r="E166" s="6"/>
      <c r="F166" s="85"/>
      <c r="G166" s="85"/>
      <c r="H166" s="104" t="str">
        <f t="shared" si="19"/>
        <v/>
      </c>
      <c r="I166" s="103" t="str">
        <f>IFERROR(INDEX(#REF!,MATCH(E166,#REF!,0)),"")</f>
        <v/>
      </c>
      <c r="J166" s="6"/>
      <c r="K166" s="103" t="str">
        <f t="shared" si="20"/>
        <v/>
      </c>
      <c r="L166" s="8"/>
      <c r="M166" s="102" t="str">
        <f t="shared" si="21"/>
        <v/>
      </c>
      <c r="N166" s="9"/>
      <c r="O166" s="103" t="str">
        <f t="shared" si="22"/>
        <v/>
      </c>
      <c r="P166" s="6"/>
      <c r="Q166" s="7"/>
      <c r="R166" s="10"/>
      <c r="S166" s="29" t="str">
        <f t="shared" ca="1" si="23"/>
        <v/>
      </c>
      <c r="T166" s="7"/>
      <c r="U166" s="74"/>
      <c r="V166" s="101">
        <f>IF(OR(T166="",U166=""),0,IFERROR(INDEX(#REF!,MATCH(T166,#REF!,0))*U166,0))</f>
        <v>0</v>
      </c>
      <c r="W166" s="7"/>
      <c r="X166" s="74"/>
      <c r="Y166" s="101">
        <f>IF(OR(W166="",X166=""),0,IFERROR(INDEX(#REF!,MATCH(W166,#REF!,0))*X166,0))</f>
        <v>0</v>
      </c>
      <c r="Z166" s="7"/>
      <c r="AA166" s="74"/>
      <c r="AB166" s="101">
        <f>IF(OR(Z166="",AA166=""),0,IFERROR(INDEX(#REF!,MATCH(Z166,#REF!,0))*AA166,0))</f>
        <v>0</v>
      </c>
      <c r="AC166" s="7"/>
      <c r="AD166" s="74"/>
      <c r="AE166" s="101">
        <f>IF(OR(AC166="",AD166=""),0,IFERROR(INDEX(#REF!,MATCH(AC166,#REF!,0))*AD166,0))</f>
        <v>0</v>
      </c>
      <c r="AF166" s="7"/>
      <c r="AG166" s="74"/>
      <c r="AH166" s="101">
        <f>IF(OR(AF166="",AG166=""),0,IFERROR(INDEX(#REF!,MATCH(AF166,#REF!,0))*AG166,0))</f>
        <v>0</v>
      </c>
      <c r="AI166" s="7"/>
      <c r="AJ166" s="74"/>
      <c r="AK166" s="101">
        <f>IF(OR(AI166="",AJ166=""),0,IFERROR(INDEX(#REF!,MATCH(AI166,#REF!,0))*AJ166,0))</f>
        <v>0</v>
      </c>
      <c r="AL166" s="101">
        <f t="shared" si="24"/>
        <v>0</v>
      </c>
      <c r="AM166" s="7"/>
      <c r="AN166" s="72"/>
      <c r="AO166" s="99">
        <f>IF(OR(AM166="",AN166=""),0,IFERROR(INDEX(#REF!,MATCH(AM166,#REF!,0))*AN166,0))</f>
        <v>0</v>
      </c>
      <c r="AP166" s="7"/>
      <c r="AQ166" s="74"/>
      <c r="AR166" s="99">
        <f>IF(OR(AP166="",AQ166=""),0,IFERROR(INDEX(#REF!,MATCH(AP166,#REF!,0))*AQ166,0))</f>
        <v>0</v>
      </c>
      <c r="AS166" s="7"/>
      <c r="AT166" s="74"/>
      <c r="AU166" s="99">
        <f>IF(OR(AS166="",AT166=""),0,IFERROR(INDEX(#REF!,MATCH(AS166,#REF!,0))*AT166,0))</f>
        <v>0</v>
      </c>
      <c r="AV166" s="7"/>
      <c r="AW166" s="74"/>
      <c r="AX166" s="99">
        <f>IF(OR(AV166="",AW166=""),0,IFERROR(INDEX(#REF!,MATCH(AV166,#REF!,0))*AW166,0))</f>
        <v>0</v>
      </c>
      <c r="AY166" s="7"/>
      <c r="AZ166" s="77"/>
      <c r="BA166" s="99">
        <f>IF(OR(AY166="",AZ166=""),0,IFERROR(INDEX(#REF!,MATCH(AY166,#REF!,0))*AZ166,0))</f>
        <v>0</v>
      </c>
      <c r="BB166" s="100">
        <f t="shared" si="25"/>
        <v>0</v>
      </c>
      <c r="BC166" s="110" t="str">
        <f t="shared" si="26"/>
        <v/>
      </c>
      <c r="BD166" s="62"/>
    </row>
    <row r="167" spans="1:56" ht="19.5" customHeight="1" x14ac:dyDescent="0.45">
      <c r="A167" s="104" t="str">
        <f t="shared" si="27"/>
        <v/>
      </c>
      <c r="B167" s="5"/>
      <c r="C167" s="109"/>
      <c r="D167" s="107"/>
      <c r="E167" s="6"/>
      <c r="F167" s="85"/>
      <c r="G167" s="85"/>
      <c r="H167" s="104" t="str">
        <f t="shared" si="19"/>
        <v/>
      </c>
      <c r="I167" s="103" t="str">
        <f>IFERROR(INDEX(#REF!,MATCH(E167,#REF!,0)),"")</f>
        <v/>
      </c>
      <c r="J167" s="6"/>
      <c r="K167" s="103" t="str">
        <f t="shared" si="20"/>
        <v/>
      </c>
      <c r="L167" s="8"/>
      <c r="M167" s="102" t="str">
        <f t="shared" si="21"/>
        <v/>
      </c>
      <c r="N167" s="9"/>
      <c r="O167" s="103" t="str">
        <f t="shared" si="22"/>
        <v/>
      </c>
      <c r="P167" s="6"/>
      <c r="Q167" s="7"/>
      <c r="R167" s="10"/>
      <c r="S167" s="29" t="str">
        <f t="shared" ca="1" si="23"/>
        <v/>
      </c>
      <c r="T167" s="7"/>
      <c r="U167" s="74"/>
      <c r="V167" s="101">
        <f>IF(OR(T167="",U167=""),0,IFERROR(INDEX(#REF!,MATCH(T167,#REF!,0))*U167,0))</f>
        <v>0</v>
      </c>
      <c r="W167" s="7"/>
      <c r="X167" s="74"/>
      <c r="Y167" s="101">
        <f>IF(OR(W167="",X167=""),0,IFERROR(INDEX(#REF!,MATCH(W167,#REF!,0))*X167,0))</f>
        <v>0</v>
      </c>
      <c r="Z167" s="7"/>
      <c r="AA167" s="74"/>
      <c r="AB167" s="101">
        <f>IF(OR(Z167="",AA167=""),0,IFERROR(INDEX(#REF!,MATCH(Z167,#REF!,0))*AA167,0))</f>
        <v>0</v>
      </c>
      <c r="AC167" s="7"/>
      <c r="AD167" s="74"/>
      <c r="AE167" s="101">
        <f>IF(OR(AC167="",AD167=""),0,IFERROR(INDEX(#REF!,MATCH(AC167,#REF!,0))*AD167,0))</f>
        <v>0</v>
      </c>
      <c r="AF167" s="7"/>
      <c r="AG167" s="74"/>
      <c r="AH167" s="101">
        <f>IF(OR(AF167="",AG167=""),0,IFERROR(INDEX(#REF!,MATCH(AF167,#REF!,0))*AG167,0))</f>
        <v>0</v>
      </c>
      <c r="AI167" s="7"/>
      <c r="AJ167" s="74"/>
      <c r="AK167" s="101">
        <f>IF(OR(AI167="",AJ167=""),0,IFERROR(INDEX(#REF!,MATCH(AI167,#REF!,0))*AJ167,0))</f>
        <v>0</v>
      </c>
      <c r="AL167" s="101">
        <f t="shared" si="24"/>
        <v>0</v>
      </c>
      <c r="AM167" s="7"/>
      <c r="AN167" s="72"/>
      <c r="AO167" s="99">
        <f>IF(OR(AM167="",AN167=""),0,IFERROR(INDEX(#REF!,MATCH(AM167,#REF!,0))*AN167,0))</f>
        <v>0</v>
      </c>
      <c r="AP167" s="7"/>
      <c r="AQ167" s="74"/>
      <c r="AR167" s="99">
        <f>IF(OR(AP167="",AQ167=""),0,IFERROR(INDEX(#REF!,MATCH(AP167,#REF!,0))*AQ167,0))</f>
        <v>0</v>
      </c>
      <c r="AS167" s="7"/>
      <c r="AT167" s="74"/>
      <c r="AU167" s="99">
        <f>IF(OR(AS167="",AT167=""),0,IFERROR(INDEX(#REF!,MATCH(AS167,#REF!,0))*AT167,0))</f>
        <v>0</v>
      </c>
      <c r="AV167" s="7"/>
      <c r="AW167" s="74"/>
      <c r="AX167" s="99">
        <f>IF(OR(AV167="",AW167=""),0,IFERROR(INDEX(#REF!,MATCH(AV167,#REF!,0))*AW167,0))</f>
        <v>0</v>
      </c>
      <c r="AY167" s="7"/>
      <c r="AZ167" s="77"/>
      <c r="BA167" s="99">
        <f>IF(OR(AY167="",AZ167=""),0,IFERROR(INDEX(#REF!,MATCH(AY167,#REF!,0))*AZ167,0))</f>
        <v>0</v>
      </c>
      <c r="BB167" s="100">
        <f t="shared" si="25"/>
        <v>0</v>
      </c>
      <c r="BC167" s="110" t="str">
        <f t="shared" si="26"/>
        <v/>
      </c>
      <c r="BD167" s="62"/>
    </row>
    <row r="168" spans="1:56" ht="19.5" customHeight="1" x14ac:dyDescent="0.45">
      <c r="A168" s="104" t="str">
        <f t="shared" si="27"/>
        <v/>
      </c>
      <c r="B168" s="5"/>
      <c r="C168" s="109"/>
      <c r="D168" s="107"/>
      <c r="E168" s="6"/>
      <c r="F168" s="85"/>
      <c r="G168" s="85"/>
      <c r="H168" s="104" t="str">
        <f t="shared" si="19"/>
        <v/>
      </c>
      <c r="I168" s="103" t="str">
        <f>IFERROR(INDEX(#REF!,MATCH(E168,#REF!,0)),"")</f>
        <v/>
      </c>
      <c r="J168" s="6"/>
      <c r="K168" s="103" t="str">
        <f t="shared" si="20"/>
        <v/>
      </c>
      <c r="L168" s="8"/>
      <c r="M168" s="102" t="str">
        <f t="shared" si="21"/>
        <v/>
      </c>
      <c r="N168" s="9"/>
      <c r="O168" s="103" t="str">
        <f t="shared" si="22"/>
        <v/>
      </c>
      <c r="P168" s="6"/>
      <c r="Q168" s="7"/>
      <c r="R168" s="10"/>
      <c r="S168" s="29" t="str">
        <f t="shared" ca="1" si="23"/>
        <v/>
      </c>
      <c r="T168" s="7"/>
      <c r="U168" s="74"/>
      <c r="V168" s="101">
        <f>IF(OR(T168="",U168=""),0,IFERROR(INDEX(#REF!,MATCH(T168,#REF!,0))*U168,0))</f>
        <v>0</v>
      </c>
      <c r="W168" s="7"/>
      <c r="X168" s="74"/>
      <c r="Y168" s="101">
        <f>IF(OR(W168="",X168=""),0,IFERROR(INDEX(#REF!,MATCH(W168,#REF!,0))*X168,0))</f>
        <v>0</v>
      </c>
      <c r="Z168" s="7"/>
      <c r="AA168" s="74"/>
      <c r="AB168" s="101">
        <f>IF(OR(Z168="",AA168=""),0,IFERROR(INDEX(#REF!,MATCH(Z168,#REF!,0))*AA168,0))</f>
        <v>0</v>
      </c>
      <c r="AC168" s="7"/>
      <c r="AD168" s="74"/>
      <c r="AE168" s="101">
        <f>IF(OR(AC168="",AD168=""),0,IFERROR(INDEX(#REF!,MATCH(AC168,#REF!,0))*AD168,0))</f>
        <v>0</v>
      </c>
      <c r="AF168" s="7"/>
      <c r="AG168" s="74"/>
      <c r="AH168" s="101">
        <f>IF(OR(AF168="",AG168=""),0,IFERROR(INDEX(#REF!,MATCH(AF168,#REF!,0))*AG168,0))</f>
        <v>0</v>
      </c>
      <c r="AI168" s="7"/>
      <c r="AJ168" s="74"/>
      <c r="AK168" s="101">
        <f>IF(OR(AI168="",AJ168=""),0,IFERROR(INDEX(#REF!,MATCH(AI168,#REF!,0))*AJ168,0))</f>
        <v>0</v>
      </c>
      <c r="AL168" s="101">
        <f t="shared" si="24"/>
        <v>0</v>
      </c>
      <c r="AM168" s="7"/>
      <c r="AN168" s="72"/>
      <c r="AO168" s="99">
        <f>IF(OR(AM168="",AN168=""),0,IFERROR(INDEX(#REF!,MATCH(AM168,#REF!,0))*AN168,0))</f>
        <v>0</v>
      </c>
      <c r="AP168" s="7"/>
      <c r="AQ168" s="74"/>
      <c r="AR168" s="99">
        <f>IF(OR(AP168="",AQ168=""),0,IFERROR(INDEX(#REF!,MATCH(AP168,#REF!,0))*AQ168,0))</f>
        <v>0</v>
      </c>
      <c r="AS168" s="7"/>
      <c r="AT168" s="74"/>
      <c r="AU168" s="99">
        <f>IF(OR(AS168="",AT168=""),0,IFERROR(INDEX(#REF!,MATCH(AS168,#REF!,0))*AT168,0))</f>
        <v>0</v>
      </c>
      <c r="AV168" s="7"/>
      <c r="AW168" s="74"/>
      <c r="AX168" s="99">
        <f>IF(OR(AV168="",AW168=""),0,IFERROR(INDEX(#REF!,MATCH(AV168,#REF!,0))*AW168,0))</f>
        <v>0</v>
      </c>
      <c r="AY168" s="7"/>
      <c r="AZ168" s="77"/>
      <c r="BA168" s="99">
        <f>IF(OR(AY168="",AZ168=""),0,IFERROR(INDEX(#REF!,MATCH(AY168,#REF!,0))*AZ168,0))</f>
        <v>0</v>
      </c>
      <c r="BB168" s="100">
        <f t="shared" si="25"/>
        <v>0</v>
      </c>
      <c r="BC168" s="110" t="str">
        <f t="shared" si="26"/>
        <v/>
      </c>
      <c r="BD168" s="62"/>
    </row>
    <row r="169" spans="1:56" ht="19.5" customHeight="1" x14ac:dyDescent="0.45">
      <c r="A169" s="104" t="str">
        <f t="shared" si="27"/>
        <v/>
      </c>
      <c r="B169" s="5"/>
      <c r="C169" s="109"/>
      <c r="D169" s="107"/>
      <c r="E169" s="6"/>
      <c r="F169" s="85"/>
      <c r="G169" s="85"/>
      <c r="H169" s="104" t="str">
        <f t="shared" si="19"/>
        <v/>
      </c>
      <c r="I169" s="103" t="str">
        <f>IFERROR(INDEX(#REF!,MATCH(E169,#REF!,0)),"")</f>
        <v/>
      </c>
      <c r="J169" s="6"/>
      <c r="K169" s="103" t="str">
        <f t="shared" si="20"/>
        <v/>
      </c>
      <c r="L169" s="8"/>
      <c r="M169" s="102" t="str">
        <f t="shared" si="21"/>
        <v/>
      </c>
      <c r="N169" s="9"/>
      <c r="O169" s="103" t="str">
        <f t="shared" si="22"/>
        <v/>
      </c>
      <c r="P169" s="6"/>
      <c r="Q169" s="7"/>
      <c r="R169" s="10"/>
      <c r="S169" s="29" t="str">
        <f t="shared" ca="1" si="23"/>
        <v/>
      </c>
      <c r="T169" s="7"/>
      <c r="U169" s="74"/>
      <c r="V169" s="101">
        <f>IF(OR(T169="",U169=""),0,IFERROR(INDEX(#REF!,MATCH(T169,#REF!,0))*U169,0))</f>
        <v>0</v>
      </c>
      <c r="W169" s="7"/>
      <c r="X169" s="74"/>
      <c r="Y169" s="101">
        <f>IF(OR(W169="",X169=""),0,IFERROR(INDEX(#REF!,MATCH(W169,#REF!,0))*X169,0))</f>
        <v>0</v>
      </c>
      <c r="Z169" s="7"/>
      <c r="AA169" s="74"/>
      <c r="AB169" s="101">
        <f>IF(OR(Z169="",AA169=""),0,IFERROR(INDEX(#REF!,MATCH(Z169,#REF!,0))*AA169,0))</f>
        <v>0</v>
      </c>
      <c r="AC169" s="7"/>
      <c r="AD169" s="74"/>
      <c r="AE169" s="101">
        <f>IF(OR(AC169="",AD169=""),0,IFERROR(INDEX(#REF!,MATCH(AC169,#REF!,0))*AD169,0))</f>
        <v>0</v>
      </c>
      <c r="AF169" s="7"/>
      <c r="AG169" s="74"/>
      <c r="AH169" s="101">
        <f>IF(OR(AF169="",AG169=""),0,IFERROR(INDEX(#REF!,MATCH(AF169,#REF!,0))*AG169,0))</f>
        <v>0</v>
      </c>
      <c r="AI169" s="7"/>
      <c r="AJ169" s="74"/>
      <c r="AK169" s="101">
        <f>IF(OR(AI169="",AJ169=""),0,IFERROR(INDEX(#REF!,MATCH(AI169,#REF!,0))*AJ169,0))</f>
        <v>0</v>
      </c>
      <c r="AL169" s="101">
        <f t="shared" si="24"/>
        <v>0</v>
      </c>
      <c r="AM169" s="7"/>
      <c r="AN169" s="72"/>
      <c r="AO169" s="99">
        <f>IF(OR(AM169="",AN169=""),0,IFERROR(INDEX(#REF!,MATCH(AM169,#REF!,0))*AN169,0))</f>
        <v>0</v>
      </c>
      <c r="AP169" s="7"/>
      <c r="AQ169" s="74"/>
      <c r="AR169" s="99">
        <f>IF(OR(AP169="",AQ169=""),0,IFERROR(INDEX(#REF!,MATCH(AP169,#REF!,0))*AQ169,0))</f>
        <v>0</v>
      </c>
      <c r="AS169" s="7"/>
      <c r="AT169" s="74"/>
      <c r="AU169" s="99">
        <f>IF(OR(AS169="",AT169=""),0,IFERROR(INDEX(#REF!,MATCH(AS169,#REF!,0))*AT169,0))</f>
        <v>0</v>
      </c>
      <c r="AV169" s="7"/>
      <c r="AW169" s="74"/>
      <c r="AX169" s="99">
        <f>IF(OR(AV169="",AW169=""),0,IFERROR(INDEX(#REF!,MATCH(AV169,#REF!,0))*AW169,0))</f>
        <v>0</v>
      </c>
      <c r="AY169" s="7"/>
      <c r="AZ169" s="77"/>
      <c r="BA169" s="99">
        <f>IF(OR(AY169="",AZ169=""),0,IFERROR(INDEX(#REF!,MATCH(AY169,#REF!,0))*AZ169,0))</f>
        <v>0</v>
      </c>
      <c r="BB169" s="100">
        <f t="shared" si="25"/>
        <v>0</v>
      </c>
      <c r="BC169" s="110" t="str">
        <f t="shared" si="26"/>
        <v/>
      </c>
      <c r="BD169" s="62"/>
    </row>
    <row r="170" spans="1:56" ht="19.5" customHeight="1" x14ac:dyDescent="0.45">
      <c r="A170" s="104" t="str">
        <f t="shared" si="27"/>
        <v/>
      </c>
      <c r="B170" s="5"/>
      <c r="C170" s="109"/>
      <c r="D170" s="107"/>
      <c r="E170" s="6"/>
      <c r="F170" s="85"/>
      <c r="G170" s="85"/>
      <c r="H170" s="104" t="str">
        <f t="shared" si="19"/>
        <v/>
      </c>
      <c r="I170" s="103" t="str">
        <f>IFERROR(INDEX(#REF!,MATCH(E170,#REF!,0)),"")</f>
        <v/>
      </c>
      <c r="J170" s="6"/>
      <c r="K170" s="103" t="str">
        <f t="shared" si="20"/>
        <v/>
      </c>
      <c r="L170" s="8"/>
      <c r="M170" s="102" t="str">
        <f t="shared" si="21"/>
        <v/>
      </c>
      <c r="N170" s="9"/>
      <c r="O170" s="103" t="str">
        <f t="shared" si="22"/>
        <v/>
      </c>
      <c r="P170" s="6"/>
      <c r="Q170" s="7"/>
      <c r="R170" s="10"/>
      <c r="S170" s="29" t="str">
        <f t="shared" ca="1" si="23"/>
        <v/>
      </c>
      <c r="T170" s="7"/>
      <c r="U170" s="74"/>
      <c r="V170" s="101">
        <f>IF(OR(T170="",U170=""),0,IFERROR(INDEX(#REF!,MATCH(T170,#REF!,0))*U170,0))</f>
        <v>0</v>
      </c>
      <c r="W170" s="7"/>
      <c r="X170" s="74"/>
      <c r="Y170" s="101">
        <f>IF(OR(W170="",X170=""),0,IFERROR(INDEX(#REF!,MATCH(W170,#REF!,0))*X170,0))</f>
        <v>0</v>
      </c>
      <c r="Z170" s="7"/>
      <c r="AA170" s="74"/>
      <c r="AB170" s="101">
        <f>IF(OR(Z170="",AA170=""),0,IFERROR(INDEX(#REF!,MATCH(Z170,#REF!,0))*AA170,0))</f>
        <v>0</v>
      </c>
      <c r="AC170" s="7"/>
      <c r="AD170" s="74"/>
      <c r="AE170" s="101">
        <f>IF(OR(AC170="",AD170=""),0,IFERROR(INDEX(#REF!,MATCH(AC170,#REF!,0))*AD170,0))</f>
        <v>0</v>
      </c>
      <c r="AF170" s="7"/>
      <c r="AG170" s="74"/>
      <c r="AH170" s="101">
        <f>IF(OR(AF170="",AG170=""),0,IFERROR(INDEX(#REF!,MATCH(AF170,#REF!,0))*AG170,0))</f>
        <v>0</v>
      </c>
      <c r="AI170" s="7"/>
      <c r="AJ170" s="74"/>
      <c r="AK170" s="101">
        <f>IF(OR(AI170="",AJ170=""),0,IFERROR(INDEX(#REF!,MATCH(AI170,#REF!,0))*AJ170,0))</f>
        <v>0</v>
      </c>
      <c r="AL170" s="101">
        <f t="shared" si="24"/>
        <v>0</v>
      </c>
      <c r="AM170" s="7"/>
      <c r="AN170" s="72"/>
      <c r="AO170" s="99">
        <f>IF(OR(AM170="",AN170=""),0,IFERROR(INDEX(#REF!,MATCH(AM170,#REF!,0))*AN170,0))</f>
        <v>0</v>
      </c>
      <c r="AP170" s="7"/>
      <c r="AQ170" s="74"/>
      <c r="AR170" s="99">
        <f>IF(OR(AP170="",AQ170=""),0,IFERROR(INDEX(#REF!,MATCH(AP170,#REF!,0))*AQ170,0))</f>
        <v>0</v>
      </c>
      <c r="AS170" s="7"/>
      <c r="AT170" s="74"/>
      <c r="AU170" s="99">
        <f>IF(OR(AS170="",AT170=""),0,IFERROR(INDEX(#REF!,MATCH(AS170,#REF!,0))*AT170,0))</f>
        <v>0</v>
      </c>
      <c r="AV170" s="7"/>
      <c r="AW170" s="74"/>
      <c r="AX170" s="99">
        <f>IF(OR(AV170="",AW170=""),0,IFERROR(INDEX(#REF!,MATCH(AV170,#REF!,0))*AW170,0))</f>
        <v>0</v>
      </c>
      <c r="AY170" s="7"/>
      <c r="AZ170" s="77"/>
      <c r="BA170" s="99">
        <f>IF(OR(AY170="",AZ170=""),0,IFERROR(INDEX(#REF!,MATCH(AY170,#REF!,0))*AZ170,0))</f>
        <v>0</v>
      </c>
      <c r="BB170" s="100">
        <f t="shared" si="25"/>
        <v>0</v>
      </c>
      <c r="BC170" s="110" t="str">
        <f t="shared" si="26"/>
        <v/>
      </c>
      <c r="BD170" s="62"/>
    </row>
    <row r="171" spans="1:56" ht="19.5" customHeight="1" x14ac:dyDescent="0.45">
      <c r="A171" s="104" t="str">
        <f t="shared" si="27"/>
        <v/>
      </c>
      <c r="B171" s="5"/>
      <c r="C171" s="109"/>
      <c r="D171" s="107"/>
      <c r="E171" s="6"/>
      <c r="F171" s="85"/>
      <c r="G171" s="85"/>
      <c r="H171" s="104" t="str">
        <f t="shared" si="19"/>
        <v/>
      </c>
      <c r="I171" s="103" t="str">
        <f>IFERROR(INDEX(#REF!,MATCH(E171,#REF!,0)),"")</f>
        <v/>
      </c>
      <c r="J171" s="6"/>
      <c r="K171" s="103" t="str">
        <f t="shared" si="20"/>
        <v/>
      </c>
      <c r="L171" s="8"/>
      <c r="M171" s="102" t="str">
        <f t="shared" si="21"/>
        <v/>
      </c>
      <c r="N171" s="9"/>
      <c r="O171" s="103" t="str">
        <f t="shared" si="22"/>
        <v/>
      </c>
      <c r="P171" s="6"/>
      <c r="Q171" s="7"/>
      <c r="R171" s="10"/>
      <c r="S171" s="29" t="str">
        <f t="shared" ca="1" si="23"/>
        <v/>
      </c>
      <c r="T171" s="7"/>
      <c r="U171" s="74"/>
      <c r="V171" s="101">
        <f>IF(OR(T171="",U171=""),0,IFERROR(INDEX(#REF!,MATCH(T171,#REF!,0))*U171,0))</f>
        <v>0</v>
      </c>
      <c r="W171" s="7"/>
      <c r="X171" s="74"/>
      <c r="Y171" s="101">
        <f>IF(OR(W171="",X171=""),0,IFERROR(INDEX(#REF!,MATCH(W171,#REF!,0))*X171,0))</f>
        <v>0</v>
      </c>
      <c r="Z171" s="7"/>
      <c r="AA171" s="74"/>
      <c r="AB171" s="101">
        <f>IF(OR(Z171="",AA171=""),0,IFERROR(INDEX(#REF!,MATCH(Z171,#REF!,0))*AA171,0))</f>
        <v>0</v>
      </c>
      <c r="AC171" s="7"/>
      <c r="AD171" s="74"/>
      <c r="AE171" s="101">
        <f>IF(OR(AC171="",AD171=""),0,IFERROR(INDEX(#REF!,MATCH(AC171,#REF!,0))*AD171,0))</f>
        <v>0</v>
      </c>
      <c r="AF171" s="7"/>
      <c r="AG171" s="74"/>
      <c r="AH171" s="101">
        <f>IF(OR(AF171="",AG171=""),0,IFERROR(INDEX(#REF!,MATCH(AF171,#REF!,0))*AG171,0))</f>
        <v>0</v>
      </c>
      <c r="AI171" s="7"/>
      <c r="AJ171" s="74"/>
      <c r="AK171" s="101">
        <f>IF(OR(AI171="",AJ171=""),0,IFERROR(INDEX(#REF!,MATCH(AI171,#REF!,0))*AJ171,0))</f>
        <v>0</v>
      </c>
      <c r="AL171" s="101">
        <f t="shared" si="24"/>
        <v>0</v>
      </c>
      <c r="AM171" s="7"/>
      <c r="AN171" s="72"/>
      <c r="AO171" s="99">
        <f>IF(OR(AM171="",AN171=""),0,IFERROR(INDEX(#REF!,MATCH(AM171,#REF!,0))*AN171,0))</f>
        <v>0</v>
      </c>
      <c r="AP171" s="7"/>
      <c r="AQ171" s="74"/>
      <c r="AR171" s="99">
        <f>IF(OR(AP171="",AQ171=""),0,IFERROR(INDEX(#REF!,MATCH(AP171,#REF!,0))*AQ171,0))</f>
        <v>0</v>
      </c>
      <c r="AS171" s="7"/>
      <c r="AT171" s="74"/>
      <c r="AU171" s="99">
        <f>IF(OR(AS171="",AT171=""),0,IFERROR(INDEX(#REF!,MATCH(AS171,#REF!,0))*AT171,0))</f>
        <v>0</v>
      </c>
      <c r="AV171" s="7"/>
      <c r="AW171" s="74"/>
      <c r="AX171" s="99">
        <f>IF(OR(AV171="",AW171=""),0,IFERROR(INDEX(#REF!,MATCH(AV171,#REF!,0))*AW171,0))</f>
        <v>0</v>
      </c>
      <c r="AY171" s="7"/>
      <c r="AZ171" s="77"/>
      <c r="BA171" s="99">
        <f>IF(OR(AY171="",AZ171=""),0,IFERROR(INDEX(#REF!,MATCH(AY171,#REF!,0))*AZ171,0))</f>
        <v>0</v>
      </c>
      <c r="BB171" s="100">
        <f t="shared" si="25"/>
        <v>0</v>
      </c>
      <c r="BC171" s="110" t="str">
        <f t="shared" si="26"/>
        <v/>
      </c>
      <c r="BD171" s="62"/>
    </row>
    <row r="172" spans="1:56" ht="19.5" customHeight="1" x14ac:dyDescent="0.45">
      <c r="A172" s="104" t="str">
        <f t="shared" si="27"/>
        <v/>
      </c>
      <c r="B172" s="5"/>
      <c r="C172" s="109"/>
      <c r="D172" s="107"/>
      <c r="E172" s="6"/>
      <c r="F172" s="85"/>
      <c r="G172" s="85"/>
      <c r="H172" s="104" t="str">
        <f t="shared" si="19"/>
        <v/>
      </c>
      <c r="I172" s="103" t="str">
        <f>IFERROR(INDEX(#REF!,MATCH(E172,#REF!,0)),"")</f>
        <v/>
      </c>
      <c r="J172" s="6"/>
      <c r="K172" s="103" t="str">
        <f t="shared" si="20"/>
        <v/>
      </c>
      <c r="L172" s="8"/>
      <c r="M172" s="102" t="str">
        <f t="shared" si="21"/>
        <v/>
      </c>
      <c r="N172" s="9"/>
      <c r="O172" s="103" t="str">
        <f t="shared" si="22"/>
        <v/>
      </c>
      <c r="P172" s="6"/>
      <c r="Q172" s="7"/>
      <c r="R172" s="10"/>
      <c r="S172" s="29" t="str">
        <f t="shared" ca="1" si="23"/>
        <v/>
      </c>
      <c r="T172" s="7"/>
      <c r="U172" s="74"/>
      <c r="V172" s="101">
        <f>IF(OR(T172="",U172=""),0,IFERROR(INDEX(#REF!,MATCH(T172,#REF!,0))*U172,0))</f>
        <v>0</v>
      </c>
      <c r="W172" s="7"/>
      <c r="X172" s="74"/>
      <c r="Y172" s="101">
        <f>IF(OR(W172="",X172=""),0,IFERROR(INDEX(#REF!,MATCH(W172,#REF!,0))*X172,0))</f>
        <v>0</v>
      </c>
      <c r="Z172" s="7"/>
      <c r="AA172" s="74"/>
      <c r="AB172" s="101">
        <f>IF(OR(Z172="",AA172=""),0,IFERROR(INDEX(#REF!,MATCH(Z172,#REF!,0))*AA172,0))</f>
        <v>0</v>
      </c>
      <c r="AC172" s="7"/>
      <c r="AD172" s="74"/>
      <c r="AE172" s="101">
        <f>IF(OR(AC172="",AD172=""),0,IFERROR(INDEX(#REF!,MATCH(AC172,#REF!,0))*AD172,0))</f>
        <v>0</v>
      </c>
      <c r="AF172" s="7"/>
      <c r="AG172" s="74"/>
      <c r="AH172" s="101">
        <f>IF(OR(AF172="",AG172=""),0,IFERROR(INDEX(#REF!,MATCH(AF172,#REF!,0))*AG172,0))</f>
        <v>0</v>
      </c>
      <c r="AI172" s="7"/>
      <c r="AJ172" s="74"/>
      <c r="AK172" s="101">
        <f>IF(OR(AI172="",AJ172=""),0,IFERROR(INDEX(#REF!,MATCH(AI172,#REF!,0))*AJ172,0))</f>
        <v>0</v>
      </c>
      <c r="AL172" s="101">
        <f t="shared" si="24"/>
        <v>0</v>
      </c>
      <c r="AM172" s="7"/>
      <c r="AN172" s="72"/>
      <c r="AO172" s="99">
        <f>IF(OR(AM172="",AN172=""),0,IFERROR(INDEX(#REF!,MATCH(AM172,#REF!,0))*AN172,0))</f>
        <v>0</v>
      </c>
      <c r="AP172" s="7"/>
      <c r="AQ172" s="74"/>
      <c r="AR172" s="99">
        <f>IF(OR(AP172="",AQ172=""),0,IFERROR(INDEX(#REF!,MATCH(AP172,#REF!,0))*AQ172,0))</f>
        <v>0</v>
      </c>
      <c r="AS172" s="7"/>
      <c r="AT172" s="74"/>
      <c r="AU172" s="99">
        <f>IF(OR(AS172="",AT172=""),0,IFERROR(INDEX(#REF!,MATCH(AS172,#REF!,0))*AT172,0))</f>
        <v>0</v>
      </c>
      <c r="AV172" s="7"/>
      <c r="AW172" s="74"/>
      <c r="AX172" s="99">
        <f>IF(OR(AV172="",AW172=""),0,IFERROR(INDEX(#REF!,MATCH(AV172,#REF!,0))*AW172,0))</f>
        <v>0</v>
      </c>
      <c r="AY172" s="7"/>
      <c r="AZ172" s="77"/>
      <c r="BA172" s="99">
        <f>IF(OR(AY172="",AZ172=""),0,IFERROR(INDEX(#REF!,MATCH(AY172,#REF!,0))*AZ172,0))</f>
        <v>0</v>
      </c>
      <c r="BB172" s="100">
        <f t="shared" si="25"/>
        <v>0</v>
      </c>
      <c r="BC172" s="110" t="str">
        <f t="shared" si="26"/>
        <v/>
      </c>
      <c r="BD172" s="62"/>
    </row>
    <row r="173" spans="1:56" ht="19.5" customHeight="1" x14ac:dyDescent="0.45">
      <c r="A173" s="104" t="str">
        <f t="shared" si="27"/>
        <v/>
      </c>
      <c r="B173" s="5"/>
      <c r="C173" s="109"/>
      <c r="D173" s="107"/>
      <c r="E173" s="6"/>
      <c r="F173" s="85"/>
      <c r="G173" s="85"/>
      <c r="H173" s="104" t="str">
        <f t="shared" si="19"/>
        <v/>
      </c>
      <c r="I173" s="103" t="str">
        <f>IFERROR(INDEX(#REF!,MATCH(E173,#REF!,0)),"")</f>
        <v/>
      </c>
      <c r="J173" s="6"/>
      <c r="K173" s="103" t="str">
        <f t="shared" si="20"/>
        <v/>
      </c>
      <c r="L173" s="8"/>
      <c r="M173" s="102" t="str">
        <f t="shared" si="21"/>
        <v/>
      </c>
      <c r="N173" s="9"/>
      <c r="O173" s="103" t="str">
        <f t="shared" si="22"/>
        <v/>
      </c>
      <c r="P173" s="6"/>
      <c r="Q173" s="7"/>
      <c r="R173" s="10"/>
      <c r="S173" s="29" t="str">
        <f t="shared" ca="1" si="23"/>
        <v/>
      </c>
      <c r="T173" s="7"/>
      <c r="U173" s="74"/>
      <c r="V173" s="101">
        <f>IF(OR(T173="",U173=""),0,IFERROR(INDEX(#REF!,MATCH(T173,#REF!,0))*U173,0))</f>
        <v>0</v>
      </c>
      <c r="W173" s="7"/>
      <c r="X173" s="74"/>
      <c r="Y173" s="101">
        <f>IF(OR(W173="",X173=""),0,IFERROR(INDEX(#REF!,MATCH(W173,#REF!,0))*X173,0))</f>
        <v>0</v>
      </c>
      <c r="Z173" s="7"/>
      <c r="AA173" s="74"/>
      <c r="AB173" s="101">
        <f>IF(OR(Z173="",AA173=""),0,IFERROR(INDEX(#REF!,MATCH(Z173,#REF!,0))*AA173,0))</f>
        <v>0</v>
      </c>
      <c r="AC173" s="7"/>
      <c r="AD173" s="74"/>
      <c r="AE173" s="101">
        <f>IF(OR(AC173="",AD173=""),0,IFERROR(INDEX(#REF!,MATCH(AC173,#REF!,0))*AD173,0))</f>
        <v>0</v>
      </c>
      <c r="AF173" s="7"/>
      <c r="AG173" s="74"/>
      <c r="AH173" s="101">
        <f>IF(OR(AF173="",AG173=""),0,IFERROR(INDEX(#REF!,MATCH(AF173,#REF!,0))*AG173,0))</f>
        <v>0</v>
      </c>
      <c r="AI173" s="7"/>
      <c r="AJ173" s="74"/>
      <c r="AK173" s="101">
        <f>IF(OR(AI173="",AJ173=""),0,IFERROR(INDEX(#REF!,MATCH(AI173,#REF!,0))*AJ173,0))</f>
        <v>0</v>
      </c>
      <c r="AL173" s="101">
        <f t="shared" si="24"/>
        <v>0</v>
      </c>
      <c r="AM173" s="7"/>
      <c r="AN173" s="72"/>
      <c r="AO173" s="99">
        <f>IF(OR(AM173="",AN173=""),0,IFERROR(INDEX(#REF!,MATCH(AM173,#REF!,0))*AN173,0))</f>
        <v>0</v>
      </c>
      <c r="AP173" s="7"/>
      <c r="AQ173" s="74"/>
      <c r="AR173" s="99">
        <f>IF(OR(AP173="",AQ173=""),0,IFERROR(INDEX(#REF!,MATCH(AP173,#REF!,0))*AQ173,0))</f>
        <v>0</v>
      </c>
      <c r="AS173" s="7"/>
      <c r="AT173" s="74"/>
      <c r="AU173" s="99">
        <f>IF(OR(AS173="",AT173=""),0,IFERROR(INDEX(#REF!,MATCH(AS173,#REF!,0))*AT173,0))</f>
        <v>0</v>
      </c>
      <c r="AV173" s="7"/>
      <c r="AW173" s="74"/>
      <c r="AX173" s="99">
        <f>IF(OR(AV173="",AW173=""),0,IFERROR(INDEX(#REF!,MATCH(AV173,#REF!,0))*AW173,0))</f>
        <v>0</v>
      </c>
      <c r="AY173" s="7"/>
      <c r="AZ173" s="77"/>
      <c r="BA173" s="99">
        <f>IF(OR(AY173="",AZ173=""),0,IFERROR(INDEX(#REF!,MATCH(AY173,#REF!,0))*AZ173,0))</f>
        <v>0</v>
      </c>
      <c r="BB173" s="100">
        <f t="shared" si="25"/>
        <v>0</v>
      </c>
      <c r="BC173" s="110" t="str">
        <f t="shared" si="26"/>
        <v/>
      </c>
      <c r="BD173" s="62"/>
    </row>
    <row r="174" spans="1:56" ht="19.5" customHeight="1" x14ac:dyDescent="0.45">
      <c r="A174" s="104" t="str">
        <f t="shared" si="27"/>
        <v/>
      </c>
      <c r="B174" s="5"/>
      <c r="C174" s="109"/>
      <c r="D174" s="107"/>
      <c r="E174" s="6"/>
      <c r="F174" s="85"/>
      <c r="G174" s="85"/>
      <c r="H174" s="104" t="str">
        <f t="shared" si="19"/>
        <v/>
      </c>
      <c r="I174" s="103" t="str">
        <f>IFERROR(INDEX(#REF!,MATCH(E174,#REF!,0)),"")</f>
        <v/>
      </c>
      <c r="J174" s="6"/>
      <c r="K174" s="103" t="str">
        <f t="shared" si="20"/>
        <v/>
      </c>
      <c r="L174" s="8"/>
      <c r="M174" s="102" t="str">
        <f t="shared" si="21"/>
        <v/>
      </c>
      <c r="N174" s="9"/>
      <c r="O174" s="103" t="str">
        <f t="shared" si="22"/>
        <v/>
      </c>
      <c r="P174" s="6"/>
      <c r="Q174" s="7"/>
      <c r="R174" s="10"/>
      <c r="S174" s="29" t="str">
        <f t="shared" ca="1" si="23"/>
        <v/>
      </c>
      <c r="T174" s="7"/>
      <c r="U174" s="74"/>
      <c r="V174" s="101">
        <f>IF(OR(T174="",U174=""),0,IFERROR(INDEX(#REF!,MATCH(T174,#REF!,0))*U174,0))</f>
        <v>0</v>
      </c>
      <c r="W174" s="7"/>
      <c r="X174" s="74"/>
      <c r="Y174" s="101">
        <f>IF(OR(W174="",X174=""),0,IFERROR(INDEX(#REF!,MATCH(W174,#REF!,0))*X174,0))</f>
        <v>0</v>
      </c>
      <c r="Z174" s="7"/>
      <c r="AA174" s="74"/>
      <c r="AB174" s="101">
        <f>IF(OR(Z174="",AA174=""),0,IFERROR(INDEX(#REF!,MATCH(Z174,#REF!,0))*AA174,0))</f>
        <v>0</v>
      </c>
      <c r="AC174" s="7"/>
      <c r="AD174" s="74"/>
      <c r="AE174" s="101">
        <f>IF(OR(AC174="",AD174=""),0,IFERROR(INDEX(#REF!,MATCH(AC174,#REF!,0))*AD174,0))</f>
        <v>0</v>
      </c>
      <c r="AF174" s="7"/>
      <c r="AG174" s="74"/>
      <c r="AH174" s="101">
        <f>IF(OR(AF174="",AG174=""),0,IFERROR(INDEX(#REF!,MATCH(AF174,#REF!,0))*AG174,0))</f>
        <v>0</v>
      </c>
      <c r="AI174" s="7"/>
      <c r="AJ174" s="74"/>
      <c r="AK174" s="101">
        <f>IF(OR(AI174="",AJ174=""),0,IFERROR(INDEX(#REF!,MATCH(AI174,#REF!,0))*AJ174,0))</f>
        <v>0</v>
      </c>
      <c r="AL174" s="101">
        <f t="shared" si="24"/>
        <v>0</v>
      </c>
      <c r="AM174" s="7"/>
      <c r="AN174" s="72"/>
      <c r="AO174" s="99">
        <f>IF(OR(AM174="",AN174=""),0,IFERROR(INDEX(#REF!,MATCH(AM174,#REF!,0))*AN174,0))</f>
        <v>0</v>
      </c>
      <c r="AP174" s="7"/>
      <c r="AQ174" s="74"/>
      <c r="AR174" s="99">
        <f>IF(OR(AP174="",AQ174=""),0,IFERROR(INDEX(#REF!,MATCH(AP174,#REF!,0))*AQ174,0))</f>
        <v>0</v>
      </c>
      <c r="AS174" s="7"/>
      <c r="AT174" s="74"/>
      <c r="AU174" s="99">
        <f>IF(OR(AS174="",AT174=""),0,IFERROR(INDEX(#REF!,MATCH(AS174,#REF!,0))*AT174,0))</f>
        <v>0</v>
      </c>
      <c r="AV174" s="7"/>
      <c r="AW174" s="74"/>
      <c r="AX174" s="99">
        <f>IF(OR(AV174="",AW174=""),0,IFERROR(INDEX(#REF!,MATCH(AV174,#REF!,0))*AW174,0))</f>
        <v>0</v>
      </c>
      <c r="AY174" s="7"/>
      <c r="AZ174" s="77"/>
      <c r="BA174" s="99">
        <f>IF(OR(AY174="",AZ174=""),0,IFERROR(INDEX(#REF!,MATCH(AY174,#REF!,0))*AZ174,0))</f>
        <v>0</v>
      </c>
      <c r="BB174" s="100">
        <f t="shared" si="25"/>
        <v>0</v>
      </c>
      <c r="BC174" s="110" t="str">
        <f t="shared" si="26"/>
        <v/>
      </c>
      <c r="BD174" s="62"/>
    </row>
    <row r="175" spans="1:56" ht="19.5" customHeight="1" x14ac:dyDescent="0.45">
      <c r="A175" s="104" t="str">
        <f t="shared" si="27"/>
        <v/>
      </c>
      <c r="B175" s="5"/>
      <c r="C175" s="109"/>
      <c r="D175" s="107"/>
      <c r="E175" s="6"/>
      <c r="F175" s="85"/>
      <c r="G175" s="85"/>
      <c r="H175" s="104" t="str">
        <f t="shared" si="19"/>
        <v/>
      </c>
      <c r="I175" s="103" t="str">
        <f>IFERROR(INDEX(#REF!,MATCH(E175,#REF!,0)),"")</f>
        <v/>
      </c>
      <c r="J175" s="6"/>
      <c r="K175" s="103" t="str">
        <f t="shared" si="20"/>
        <v/>
      </c>
      <c r="L175" s="8"/>
      <c r="M175" s="102" t="str">
        <f t="shared" si="21"/>
        <v/>
      </c>
      <c r="N175" s="9"/>
      <c r="O175" s="103" t="str">
        <f t="shared" si="22"/>
        <v/>
      </c>
      <c r="P175" s="6"/>
      <c r="Q175" s="7"/>
      <c r="R175" s="10"/>
      <c r="S175" s="29" t="str">
        <f t="shared" ca="1" si="23"/>
        <v/>
      </c>
      <c r="T175" s="7"/>
      <c r="U175" s="74"/>
      <c r="V175" s="101">
        <f>IF(OR(T175="",U175=""),0,IFERROR(INDEX(#REF!,MATCH(T175,#REF!,0))*U175,0))</f>
        <v>0</v>
      </c>
      <c r="W175" s="7"/>
      <c r="X175" s="74"/>
      <c r="Y175" s="101">
        <f>IF(OR(W175="",X175=""),0,IFERROR(INDEX(#REF!,MATCH(W175,#REF!,0))*X175,0))</f>
        <v>0</v>
      </c>
      <c r="Z175" s="7"/>
      <c r="AA175" s="74"/>
      <c r="AB175" s="101">
        <f>IF(OR(Z175="",AA175=""),0,IFERROR(INDEX(#REF!,MATCH(Z175,#REF!,0))*AA175,0))</f>
        <v>0</v>
      </c>
      <c r="AC175" s="7"/>
      <c r="AD175" s="74"/>
      <c r="AE175" s="101">
        <f>IF(OR(AC175="",AD175=""),0,IFERROR(INDEX(#REF!,MATCH(AC175,#REF!,0))*AD175,0))</f>
        <v>0</v>
      </c>
      <c r="AF175" s="7"/>
      <c r="AG175" s="74"/>
      <c r="AH175" s="101">
        <f>IF(OR(AF175="",AG175=""),0,IFERROR(INDEX(#REF!,MATCH(AF175,#REF!,0))*AG175,0))</f>
        <v>0</v>
      </c>
      <c r="AI175" s="7"/>
      <c r="AJ175" s="74"/>
      <c r="AK175" s="101">
        <f>IF(OR(AI175="",AJ175=""),0,IFERROR(INDEX(#REF!,MATCH(AI175,#REF!,0))*AJ175,0))</f>
        <v>0</v>
      </c>
      <c r="AL175" s="101">
        <f t="shared" si="24"/>
        <v>0</v>
      </c>
      <c r="AM175" s="7"/>
      <c r="AN175" s="72"/>
      <c r="AO175" s="99">
        <f>IF(OR(AM175="",AN175=""),0,IFERROR(INDEX(#REF!,MATCH(AM175,#REF!,0))*AN175,0))</f>
        <v>0</v>
      </c>
      <c r="AP175" s="7"/>
      <c r="AQ175" s="74"/>
      <c r="AR175" s="99">
        <f>IF(OR(AP175="",AQ175=""),0,IFERROR(INDEX(#REF!,MATCH(AP175,#REF!,0))*AQ175,0))</f>
        <v>0</v>
      </c>
      <c r="AS175" s="7"/>
      <c r="AT175" s="74"/>
      <c r="AU175" s="99">
        <f>IF(OR(AS175="",AT175=""),0,IFERROR(INDEX(#REF!,MATCH(AS175,#REF!,0))*AT175,0))</f>
        <v>0</v>
      </c>
      <c r="AV175" s="7"/>
      <c r="AW175" s="74"/>
      <c r="AX175" s="99">
        <f>IF(OR(AV175="",AW175=""),0,IFERROR(INDEX(#REF!,MATCH(AV175,#REF!,0))*AW175,0))</f>
        <v>0</v>
      </c>
      <c r="AY175" s="7"/>
      <c r="AZ175" s="77"/>
      <c r="BA175" s="99">
        <f>IF(OR(AY175="",AZ175=""),0,IFERROR(INDEX(#REF!,MATCH(AY175,#REF!,0))*AZ175,0))</f>
        <v>0</v>
      </c>
      <c r="BB175" s="100">
        <f t="shared" si="25"/>
        <v>0</v>
      </c>
      <c r="BC175" s="110" t="str">
        <f t="shared" si="26"/>
        <v/>
      </c>
      <c r="BD175" s="62"/>
    </row>
    <row r="176" spans="1:56" ht="19.5" customHeight="1" x14ac:dyDescent="0.45">
      <c r="A176" s="104" t="str">
        <f t="shared" si="27"/>
        <v/>
      </c>
      <c r="B176" s="5"/>
      <c r="C176" s="109"/>
      <c r="D176" s="107"/>
      <c r="E176" s="6"/>
      <c r="F176" s="85"/>
      <c r="G176" s="85"/>
      <c r="H176" s="104" t="str">
        <f t="shared" si="19"/>
        <v/>
      </c>
      <c r="I176" s="103" t="str">
        <f>IFERROR(INDEX(#REF!,MATCH(E176,#REF!,0)),"")</f>
        <v/>
      </c>
      <c r="J176" s="6"/>
      <c r="K176" s="103" t="str">
        <f t="shared" si="20"/>
        <v/>
      </c>
      <c r="L176" s="8"/>
      <c r="M176" s="102" t="str">
        <f t="shared" si="21"/>
        <v/>
      </c>
      <c r="N176" s="9"/>
      <c r="O176" s="103" t="str">
        <f t="shared" si="22"/>
        <v/>
      </c>
      <c r="P176" s="6"/>
      <c r="Q176" s="7"/>
      <c r="R176" s="10"/>
      <c r="S176" s="29" t="str">
        <f t="shared" ca="1" si="23"/>
        <v/>
      </c>
      <c r="T176" s="7"/>
      <c r="U176" s="74"/>
      <c r="V176" s="101">
        <f>IF(OR(T176="",U176=""),0,IFERROR(INDEX(#REF!,MATCH(T176,#REF!,0))*U176,0))</f>
        <v>0</v>
      </c>
      <c r="W176" s="7"/>
      <c r="X176" s="74"/>
      <c r="Y176" s="101">
        <f>IF(OR(W176="",X176=""),0,IFERROR(INDEX(#REF!,MATCH(W176,#REF!,0))*X176,0))</f>
        <v>0</v>
      </c>
      <c r="Z176" s="7"/>
      <c r="AA176" s="74"/>
      <c r="AB176" s="101">
        <f>IF(OR(Z176="",AA176=""),0,IFERROR(INDEX(#REF!,MATCH(Z176,#REF!,0))*AA176,0))</f>
        <v>0</v>
      </c>
      <c r="AC176" s="7"/>
      <c r="AD176" s="74"/>
      <c r="AE176" s="101">
        <f>IF(OR(AC176="",AD176=""),0,IFERROR(INDEX(#REF!,MATCH(AC176,#REF!,0))*AD176,0))</f>
        <v>0</v>
      </c>
      <c r="AF176" s="7"/>
      <c r="AG176" s="74"/>
      <c r="AH176" s="101">
        <f>IF(OR(AF176="",AG176=""),0,IFERROR(INDEX(#REF!,MATCH(AF176,#REF!,0))*AG176,0))</f>
        <v>0</v>
      </c>
      <c r="AI176" s="7"/>
      <c r="AJ176" s="74"/>
      <c r="AK176" s="101">
        <f>IF(OR(AI176="",AJ176=""),0,IFERROR(INDEX(#REF!,MATCH(AI176,#REF!,0))*AJ176,0))</f>
        <v>0</v>
      </c>
      <c r="AL176" s="101">
        <f t="shared" si="24"/>
        <v>0</v>
      </c>
      <c r="AM176" s="7"/>
      <c r="AN176" s="72"/>
      <c r="AO176" s="99">
        <f>IF(OR(AM176="",AN176=""),0,IFERROR(INDEX(#REF!,MATCH(AM176,#REF!,0))*AN176,0))</f>
        <v>0</v>
      </c>
      <c r="AP176" s="7"/>
      <c r="AQ176" s="74"/>
      <c r="AR176" s="99">
        <f>IF(OR(AP176="",AQ176=""),0,IFERROR(INDEX(#REF!,MATCH(AP176,#REF!,0))*AQ176,0))</f>
        <v>0</v>
      </c>
      <c r="AS176" s="7"/>
      <c r="AT176" s="74"/>
      <c r="AU176" s="99">
        <f>IF(OR(AS176="",AT176=""),0,IFERROR(INDEX(#REF!,MATCH(AS176,#REF!,0))*AT176,0))</f>
        <v>0</v>
      </c>
      <c r="AV176" s="7"/>
      <c r="AW176" s="74"/>
      <c r="AX176" s="99">
        <f>IF(OR(AV176="",AW176=""),0,IFERROR(INDEX(#REF!,MATCH(AV176,#REF!,0))*AW176,0))</f>
        <v>0</v>
      </c>
      <c r="AY176" s="7"/>
      <c r="AZ176" s="77"/>
      <c r="BA176" s="99">
        <f>IF(OR(AY176="",AZ176=""),0,IFERROR(INDEX(#REF!,MATCH(AY176,#REF!,0))*AZ176,0))</f>
        <v>0</v>
      </c>
      <c r="BB176" s="100">
        <f t="shared" si="25"/>
        <v>0</v>
      </c>
      <c r="BC176" s="110" t="str">
        <f t="shared" si="26"/>
        <v/>
      </c>
      <c r="BD176" s="62"/>
    </row>
    <row r="177" spans="1:56" ht="19.5" customHeight="1" x14ac:dyDescent="0.45">
      <c r="A177" s="104" t="str">
        <f t="shared" si="27"/>
        <v/>
      </c>
      <c r="B177" s="5"/>
      <c r="C177" s="109"/>
      <c r="D177" s="107"/>
      <c r="E177" s="6"/>
      <c r="F177" s="85"/>
      <c r="G177" s="85"/>
      <c r="H177" s="104" t="str">
        <f t="shared" si="19"/>
        <v/>
      </c>
      <c r="I177" s="103" t="str">
        <f>IFERROR(INDEX(#REF!,MATCH(E177,#REF!,0)),"")</f>
        <v/>
      </c>
      <c r="J177" s="6"/>
      <c r="K177" s="103" t="str">
        <f t="shared" si="20"/>
        <v/>
      </c>
      <c r="L177" s="8"/>
      <c r="M177" s="102" t="str">
        <f t="shared" si="21"/>
        <v/>
      </c>
      <c r="N177" s="9"/>
      <c r="O177" s="103" t="str">
        <f t="shared" si="22"/>
        <v/>
      </c>
      <c r="P177" s="6"/>
      <c r="Q177" s="7"/>
      <c r="R177" s="10"/>
      <c r="S177" s="29" t="str">
        <f t="shared" ca="1" si="23"/>
        <v/>
      </c>
      <c r="T177" s="7"/>
      <c r="U177" s="74"/>
      <c r="V177" s="101">
        <f>IF(OR(T177="",U177=""),0,IFERROR(INDEX(#REF!,MATCH(T177,#REF!,0))*U177,0))</f>
        <v>0</v>
      </c>
      <c r="W177" s="7"/>
      <c r="X177" s="74"/>
      <c r="Y177" s="101">
        <f>IF(OR(W177="",X177=""),0,IFERROR(INDEX(#REF!,MATCH(W177,#REF!,0))*X177,0))</f>
        <v>0</v>
      </c>
      <c r="Z177" s="7"/>
      <c r="AA177" s="74"/>
      <c r="AB177" s="101">
        <f>IF(OR(Z177="",AA177=""),0,IFERROR(INDEX(#REF!,MATCH(Z177,#REF!,0))*AA177,0))</f>
        <v>0</v>
      </c>
      <c r="AC177" s="7"/>
      <c r="AD177" s="74"/>
      <c r="AE177" s="101">
        <f>IF(OR(AC177="",AD177=""),0,IFERROR(INDEX(#REF!,MATCH(AC177,#REF!,0))*AD177,0))</f>
        <v>0</v>
      </c>
      <c r="AF177" s="7"/>
      <c r="AG177" s="74"/>
      <c r="AH177" s="101">
        <f>IF(OR(AF177="",AG177=""),0,IFERROR(INDEX(#REF!,MATCH(AF177,#REF!,0))*AG177,0))</f>
        <v>0</v>
      </c>
      <c r="AI177" s="7"/>
      <c r="AJ177" s="74"/>
      <c r="AK177" s="101">
        <f>IF(OR(AI177="",AJ177=""),0,IFERROR(INDEX(#REF!,MATCH(AI177,#REF!,0))*AJ177,0))</f>
        <v>0</v>
      </c>
      <c r="AL177" s="101">
        <f t="shared" si="24"/>
        <v>0</v>
      </c>
      <c r="AM177" s="7"/>
      <c r="AN177" s="72"/>
      <c r="AO177" s="99">
        <f>IF(OR(AM177="",AN177=""),0,IFERROR(INDEX(#REF!,MATCH(AM177,#REF!,0))*AN177,0))</f>
        <v>0</v>
      </c>
      <c r="AP177" s="7"/>
      <c r="AQ177" s="74"/>
      <c r="AR177" s="99">
        <f>IF(OR(AP177="",AQ177=""),0,IFERROR(INDEX(#REF!,MATCH(AP177,#REF!,0))*AQ177,0))</f>
        <v>0</v>
      </c>
      <c r="AS177" s="7"/>
      <c r="AT177" s="74"/>
      <c r="AU177" s="99">
        <f>IF(OR(AS177="",AT177=""),0,IFERROR(INDEX(#REF!,MATCH(AS177,#REF!,0))*AT177,0))</f>
        <v>0</v>
      </c>
      <c r="AV177" s="7"/>
      <c r="AW177" s="74"/>
      <c r="AX177" s="99">
        <f>IF(OR(AV177="",AW177=""),0,IFERROR(INDEX(#REF!,MATCH(AV177,#REF!,0))*AW177,0))</f>
        <v>0</v>
      </c>
      <c r="AY177" s="7"/>
      <c r="AZ177" s="77"/>
      <c r="BA177" s="99">
        <f>IF(OR(AY177="",AZ177=""),0,IFERROR(INDEX(#REF!,MATCH(AY177,#REF!,0))*AZ177,0))</f>
        <v>0</v>
      </c>
      <c r="BB177" s="100">
        <f t="shared" si="25"/>
        <v>0</v>
      </c>
      <c r="BC177" s="110" t="str">
        <f t="shared" si="26"/>
        <v/>
      </c>
      <c r="BD177" s="62"/>
    </row>
    <row r="178" spans="1:56" ht="19.5" customHeight="1" x14ac:dyDescent="0.45">
      <c r="A178" s="104" t="str">
        <f t="shared" si="27"/>
        <v/>
      </c>
      <c r="B178" s="5"/>
      <c r="C178" s="109"/>
      <c r="D178" s="107"/>
      <c r="E178" s="6"/>
      <c r="F178" s="85"/>
      <c r="G178" s="85"/>
      <c r="H178" s="104" t="str">
        <f t="shared" si="19"/>
        <v/>
      </c>
      <c r="I178" s="103" t="str">
        <f>IFERROR(INDEX(#REF!,MATCH(E178,#REF!,0)),"")</f>
        <v/>
      </c>
      <c r="J178" s="6"/>
      <c r="K178" s="103" t="str">
        <f t="shared" si="20"/>
        <v/>
      </c>
      <c r="L178" s="8"/>
      <c r="M178" s="102" t="str">
        <f t="shared" si="21"/>
        <v/>
      </c>
      <c r="N178" s="9"/>
      <c r="O178" s="103" t="str">
        <f t="shared" si="22"/>
        <v/>
      </c>
      <c r="P178" s="6"/>
      <c r="Q178" s="7"/>
      <c r="R178" s="10"/>
      <c r="S178" s="29" t="str">
        <f t="shared" ca="1" si="23"/>
        <v/>
      </c>
      <c r="T178" s="7"/>
      <c r="U178" s="74"/>
      <c r="V178" s="101">
        <f>IF(OR(T178="",U178=""),0,IFERROR(INDEX(#REF!,MATCH(T178,#REF!,0))*U178,0))</f>
        <v>0</v>
      </c>
      <c r="W178" s="7"/>
      <c r="X178" s="74"/>
      <c r="Y178" s="101">
        <f>IF(OR(W178="",X178=""),0,IFERROR(INDEX(#REF!,MATCH(W178,#REF!,0))*X178,0))</f>
        <v>0</v>
      </c>
      <c r="Z178" s="7"/>
      <c r="AA178" s="74"/>
      <c r="AB178" s="101">
        <f>IF(OR(Z178="",AA178=""),0,IFERROR(INDEX(#REF!,MATCH(Z178,#REF!,0))*AA178,0))</f>
        <v>0</v>
      </c>
      <c r="AC178" s="7"/>
      <c r="AD178" s="74"/>
      <c r="AE178" s="101">
        <f>IF(OR(AC178="",AD178=""),0,IFERROR(INDEX(#REF!,MATCH(AC178,#REF!,0))*AD178,0))</f>
        <v>0</v>
      </c>
      <c r="AF178" s="7"/>
      <c r="AG178" s="74"/>
      <c r="AH178" s="101">
        <f>IF(OR(AF178="",AG178=""),0,IFERROR(INDEX(#REF!,MATCH(AF178,#REF!,0))*AG178,0))</f>
        <v>0</v>
      </c>
      <c r="AI178" s="7"/>
      <c r="AJ178" s="74"/>
      <c r="AK178" s="101">
        <f>IF(OR(AI178="",AJ178=""),0,IFERROR(INDEX(#REF!,MATCH(AI178,#REF!,0))*AJ178,0))</f>
        <v>0</v>
      </c>
      <c r="AL178" s="101">
        <f t="shared" si="24"/>
        <v>0</v>
      </c>
      <c r="AM178" s="7"/>
      <c r="AN178" s="72"/>
      <c r="AO178" s="99">
        <f>IF(OR(AM178="",AN178=""),0,IFERROR(INDEX(#REF!,MATCH(AM178,#REF!,0))*AN178,0))</f>
        <v>0</v>
      </c>
      <c r="AP178" s="7"/>
      <c r="AQ178" s="74"/>
      <c r="AR178" s="99">
        <f>IF(OR(AP178="",AQ178=""),0,IFERROR(INDEX(#REF!,MATCH(AP178,#REF!,0))*AQ178,0))</f>
        <v>0</v>
      </c>
      <c r="AS178" s="7"/>
      <c r="AT178" s="74"/>
      <c r="AU178" s="99">
        <f>IF(OR(AS178="",AT178=""),0,IFERROR(INDEX(#REF!,MATCH(AS178,#REF!,0))*AT178,0))</f>
        <v>0</v>
      </c>
      <c r="AV178" s="7"/>
      <c r="AW178" s="74"/>
      <c r="AX178" s="99">
        <f>IF(OR(AV178="",AW178=""),0,IFERROR(INDEX(#REF!,MATCH(AV178,#REF!,0))*AW178,0))</f>
        <v>0</v>
      </c>
      <c r="AY178" s="7"/>
      <c r="AZ178" s="77"/>
      <c r="BA178" s="99">
        <f>IF(OR(AY178="",AZ178=""),0,IFERROR(INDEX(#REF!,MATCH(AY178,#REF!,0))*AZ178,0))</f>
        <v>0</v>
      </c>
      <c r="BB178" s="100">
        <f t="shared" si="25"/>
        <v>0</v>
      </c>
      <c r="BC178" s="110" t="str">
        <f t="shared" si="26"/>
        <v/>
      </c>
      <c r="BD178" s="62"/>
    </row>
    <row r="179" spans="1:56" ht="19.5" customHeight="1" x14ac:dyDescent="0.45">
      <c r="A179" s="104" t="str">
        <f t="shared" si="27"/>
        <v/>
      </c>
      <c r="B179" s="5"/>
      <c r="C179" s="109"/>
      <c r="D179" s="107"/>
      <c r="E179" s="6"/>
      <c r="F179" s="85"/>
      <c r="G179" s="85"/>
      <c r="H179" s="104" t="str">
        <f t="shared" si="19"/>
        <v/>
      </c>
      <c r="I179" s="103" t="str">
        <f>IFERROR(INDEX(#REF!,MATCH(E179,#REF!,0)),"")</f>
        <v/>
      </c>
      <c r="J179" s="6"/>
      <c r="K179" s="103" t="str">
        <f t="shared" si="20"/>
        <v/>
      </c>
      <c r="L179" s="8"/>
      <c r="M179" s="102" t="str">
        <f t="shared" si="21"/>
        <v/>
      </c>
      <c r="N179" s="9"/>
      <c r="O179" s="103" t="str">
        <f t="shared" si="22"/>
        <v/>
      </c>
      <c r="P179" s="6"/>
      <c r="Q179" s="7"/>
      <c r="R179" s="10"/>
      <c r="S179" s="29" t="str">
        <f t="shared" ca="1" si="23"/>
        <v/>
      </c>
      <c r="T179" s="7"/>
      <c r="U179" s="74"/>
      <c r="V179" s="101">
        <f>IF(OR(T179="",U179=""),0,IFERROR(INDEX(#REF!,MATCH(T179,#REF!,0))*U179,0))</f>
        <v>0</v>
      </c>
      <c r="W179" s="7"/>
      <c r="X179" s="74"/>
      <c r="Y179" s="101">
        <f>IF(OR(W179="",X179=""),0,IFERROR(INDEX(#REF!,MATCH(W179,#REF!,0))*X179,0))</f>
        <v>0</v>
      </c>
      <c r="Z179" s="7"/>
      <c r="AA179" s="74"/>
      <c r="AB179" s="101">
        <f>IF(OR(Z179="",AA179=""),0,IFERROR(INDEX(#REF!,MATCH(Z179,#REF!,0))*AA179,0))</f>
        <v>0</v>
      </c>
      <c r="AC179" s="7"/>
      <c r="AD179" s="74"/>
      <c r="AE179" s="101">
        <f>IF(OR(AC179="",AD179=""),0,IFERROR(INDEX(#REF!,MATCH(AC179,#REF!,0))*AD179,0))</f>
        <v>0</v>
      </c>
      <c r="AF179" s="7"/>
      <c r="AG179" s="74"/>
      <c r="AH179" s="101">
        <f>IF(OR(AF179="",AG179=""),0,IFERROR(INDEX(#REF!,MATCH(AF179,#REF!,0))*AG179,0))</f>
        <v>0</v>
      </c>
      <c r="AI179" s="7"/>
      <c r="AJ179" s="74"/>
      <c r="AK179" s="101">
        <f>IF(OR(AI179="",AJ179=""),0,IFERROR(INDEX(#REF!,MATCH(AI179,#REF!,0))*AJ179,0))</f>
        <v>0</v>
      </c>
      <c r="AL179" s="101">
        <f t="shared" si="24"/>
        <v>0</v>
      </c>
      <c r="AM179" s="7"/>
      <c r="AN179" s="72"/>
      <c r="AO179" s="99">
        <f>IF(OR(AM179="",AN179=""),0,IFERROR(INDEX(#REF!,MATCH(AM179,#REF!,0))*AN179,0))</f>
        <v>0</v>
      </c>
      <c r="AP179" s="7"/>
      <c r="AQ179" s="74"/>
      <c r="AR179" s="99">
        <f>IF(OR(AP179="",AQ179=""),0,IFERROR(INDEX(#REF!,MATCH(AP179,#REF!,0))*AQ179,0))</f>
        <v>0</v>
      </c>
      <c r="AS179" s="7"/>
      <c r="AT179" s="74"/>
      <c r="AU179" s="99">
        <f>IF(OR(AS179="",AT179=""),0,IFERROR(INDEX(#REF!,MATCH(AS179,#REF!,0))*AT179,0))</f>
        <v>0</v>
      </c>
      <c r="AV179" s="7"/>
      <c r="AW179" s="74"/>
      <c r="AX179" s="99">
        <f>IF(OR(AV179="",AW179=""),0,IFERROR(INDEX(#REF!,MATCH(AV179,#REF!,0))*AW179,0))</f>
        <v>0</v>
      </c>
      <c r="AY179" s="7"/>
      <c r="AZ179" s="77"/>
      <c r="BA179" s="99">
        <f>IF(OR(AY179="",AZ179=""),0,IFERROR(INDEX(#REF!,MATCH(AY179,#REF!,0))*AZ179,0))</f>
        <v>0</v>
      </c>
      <c r="BB179" s="100">
        <f t="shared" si="25"/>
        <v>0</v>
      </c>
      <c r="BC179" s="110" t="str">
        <f t="shared" si="26"/>
        <v/>
      </c>
      <c r="BD179" s="62"/>
    </row>
    <row r="180" spans="1:56" ht="19.5" customHeight="1" x14ac:dyDescent="0.45">
      <c r="A180" s="104" t="str">
        <f t="shared" si="27"/>
        <v/>
      </c>
      <c r="B180" s="5"/>
      <c r="C180" s="109"/>
      <c r="D180" s="107"/>
      <c r="E180" s="6"/>
      <c r="F180" s="85"/>
      <c r="G180" s="85"/>
      <c r="H180" s="104" t="str">
        <f t="shared" si="19"/>
        <v/>
      </c>
      <c r="I180" s="103" t="str">
        <f>IFERROR(INDEX(#REF!,MATCH(E180,#REF!,0)),"")</f>
        <v/>
      </c>
      <c r="J180" s="6"/>
      <c r="K180" s="103" t="str">
        <f t="shared" si="20"/>
        <v/>
      </c>
      <c r="L180" s="8"/>
      <c r="M180" s="102" t="str">
        <f t="shared" si="21"/>
        <v/>
      </c>
      <c r="N180" s="9"/>
      <c r="O180" s="103" t="str">
        <f t="shared" si="22"/>
        <v/>
      </c>
      <c r="P180" s="6"/>
      <c r="Q180" s="7"/>
      <c r="R180" s="10"/>
      <c r="S180" s="29" t="str">
        <f t="shared" ca="1" si="23"/>
        <v/>
      </c>
      <c r="T180" s="7"/>
      <c r="U180" s="74"/>
      <c r="V180" s="101">
        <f>IF(OR(T180="",U180=""),0,IFERROR(INDEX(#REF!,MATCH(T180,#REF!,0))*U180,0))</f>
        <v>0</v>
      </c>
      <c r="W180" s="7"/>
      <c r="X180" s="74"/>
      <c r="Y180" s="101">
        <f>IF(OR(W180="",X180=""),0,IFERROR(INDEX(#REF!,MATCH(W180,#REF!,0))*X180,0))</f>
        <v>0</v>
      </c>
      <c r="Z180" s="7"/>
      <c r="AA180" s="74"/>
      <c r="AB180" s="101">
        <f>IF(OR(Z180="",AA180=""),0,IFERROR(INDEX(#REF!,MATCH(Z180,#REF!,0))*AA180,0))</f>
        <v>0</v>
      </c>
      <c r="AC180" s="7"/>
      <c r="AD180" s="74"/>
      <c r="AE180" s="101">
        <f>IF(OR(AC180="",AD180=""),0,IFERROR(INDEX(#REF!,MATCH(AC180,#REF!,0))*AD180,0))</f>
        <v>0</v>
      </c>
      <c r="AF180" s="7"/>
      <c r="AG180" s="74"/>
      <c r="AH180" s="101">
        <f>IF(OR(AF180="",AG180=""),0,IFERROR(INDEX(#REF!,MATCH(AF180,#REF!,0))*AG180,0))</f>
        <v>0</v>
      </c>
      <c r="AI180" s="7"/>
      <c r="AJ180" s="74"/>
      <c r="AK180" s="101">
        <f>IF(OR(AI180="",AJ180=""),0,IFERROR(INDEX(#REF!,MATCH(AI180,#REF!,0))*AJ180,0))</f>
        <v>0</v>
      </c>
      <c r="AL180" s="101">
        <f t="shared" si="24"/>
        <v>0</v>
      </c>
      <c r="AM180" s="7"/>
      <c r="AN180" s="72"/>
      <c r="AO180" s="99">
        <f>IF(OR(AM180="",AN180=""),0,IFERROR(INDEX(#REF!,MATCH(AM180,#REF!,0))*AN180,0))</f>
        <v>0</v>
      </c>
      <c r="AP180" s="7"/>
      <c r="AQ180" s="74"/>
      <c r="AR180" s="99">
        <f>IF(OR(AP180="",AQ180=""),0,IFERROR(INDEX(#REF!,MATCH(AP180,#REF!,0))*AQ180,0))</f>
        <v>0</v>
      </c>
      <c r="AS180" s="7"/>
      <c r="AT180" s="74"/>
      <c r="AU180" s="99">
        <f>IF(OR(AS180="",AT180=""),0,IFERROR(INDEX(#REF!,MATCH(AS180,#REF!,0))*AT180,0))</f>
        <v>0</v>
      </c>
      <c r="AV180" s="7"/>
      <c r="AW180" s="74"/>
      <c r="AX180" s="99">
        <f>IF(OR(AV180="",AW180=""),0,IFERROR(INDEX(#REF!,MATCH(AV180,#REF!,0))*AW180,0))</f>
        <v>0</v>
      </c>
      <c r="AY180" s="7"/>
      <c r="AZ180" s="77"/>
      <c r="BA180" s="99">
        <f>IF(OR(AY180="",AZ180=""),0,IFERROR(INDEX(#REF!,MATCH(AY180,#REF!,0))*AZ180,0))</f>
        <v>0</v>
      </c>
      <c r="BB180" s="100">
        <f t="shared" si="25"/>
        <v>0</v>
      </c>
      <c r="BC180" s="110" t="str">
        <f t="shared" si="26"/>
        <v/>
      </c>
      <c r="BD180" s="62"/>
    </row>
    <row r="181" spans="1:56" ht="19.5" customHeight="1" x14ac:dyDescent="0.45">
      <c r="A181" s="104" t="str">
        <f t="shared" si="27"/>
        <v/>
      </c>
      <c r="B181" s="5"/>
      <c r="C181" s="109"/>
      <c r="D181" s="107"/>
      <c r="E181" s="6"/>
      <c r="F181" s="85"/>
      <c r="G181" s="85"/>
      <c r="H181" s="104" t="str">
        <f t="shared" si="19"/>
        <v/>
      </c>
      <c r="I181" s="103" t="str">
        <f>IFERROR(INDEX(#REF!,MATCH(E181,#REF!,0)),"")</f>
        <v/>
      </c>
      <c r="J181" s="6"/>
      <c r="K181" s="103" t="str">
        <f t="shared" si="20"/>
        <v/>
      </c>
      <c r="L181" s="8"/>
      <c r="M181" s="102" t="str">
        <f t="shared" si="21"/>
        <v/>
      </c>
      <c r="N181" s="9"/>
      <c r="O181" s="103" t="str">
        <f t="shared" si="22"/>
        <v/>
      </c>
      <c r="P181" s="6"/>
      <c r="Q181" s="7"/>
      <c r="R181" s="10"/>
      <c r="S181" s="29" t="str">
        <f t="shared" ca="1" si="23"/>
        <v/>
      </c>
      <c r="T181" s="7"/>
      <c r="U181" s="74"/>
      <c r="V181" s="101">
        <f>IF(OR(T181="",U181=""),0,IFERROR(INDEX(#REF!,MATCH(T181,#REF!,0))*U181,0))</f>
        <v>0</v>
      </c>
      <c r="W181" s="7"/>
      <c r="X181" s="74"/>
      <c r="Y181" s="101">
        <f>IF(OR(W181="",X181=""),0,IFERROR(INDEX(#REF!,MATCH(W181,#REF!,0))*X181,0))</f>
        <v>0</v>
      </c>
      <c r="Z181" s="7"/>
      <c r="AA181" s="74"/>
      <c r="AB181" s="101">
        <f>IF(OR(Z181="",AA181=""),0,IFERROR(INDEX(#REF!,MATCH(Z181,#REF!,0))*AA181,0))</f>
        <v>0</v>
      </c>
      <c r="AC181" s="7"/>
      <c r="AD181" s="74"/>
      <c r="AE181" s="101">
        <f>IF(OR(AC181="",AD181=""),0,IFERROR(INDEX(#REF!,MATCH(AC181,#REF!,0))*AD181,0))</f>
        <v>0</v>
      </c>
      <c r="AF181" s="7"/>
      <c r="AG181" s="74"/>
      <c r="AH181" s="101">
        <f>IF(OR(AF181="",AG181=""),0,IFERROR(INDEX(#REF!,MATCH(AF181,#REF!,0))*AG181,0))</f>
        <v>0</v>
      </c>
      <c r="AI181" s="7"/>
      <c r="AJ181" s="74"/>
      <c r="AK181" s="101">
        <f>IF(OR(AI181="",AJ181=""),0,IFERROR(INDEX(#REF!,MATCH(AI181,#REF!,0))*AJ181,0))</f>
        <v>0</v>
      </c>
      <c r="AL181" s="101">
        <f t="shared" si="24"/>
        <v>0</v>
      </c>
      <c r="AM181" s="7"/>
      <c r="AN181" s="72"/>
      <c r="AO181" s="99">
        <f>IF(OR(AM181="",AN181=""),0,IFERROR(INDEX(#REF!,MATCH(AM181,#REF!,0))*AN181,0))</f>
        <v>0</v>
      </c>
      <c r="AP181" s="7"/>
      <c r="AQ181" s="74"/>
      <c r="AR181" s="99">
        <f>IF(OR(AP181="",AQ181=""),0,IFERROR(INDEX(#REF!,MATCH(AP181,#REF!,0))*AQ181,0))</f>
        <v>0</v>
      </c>
      <c r="AS181" s="7"/>
      <c r="AT181" s="74"/>
      <c r="AU181" s="99">
        <f>IF(OR(AS181="",AT181=""),0,IFERROR(INDEX(#REF!,MATCH(AS181,#REF!,0))*AT181,0))</f>
        <v>0</v>
      </c>
      <c r="AV181" s="7"/>
      <c r="AW181" s="74"/>
      <c r="AX181" s="99">
        <f>IF(OR(AV181="",AW181=""),0,IFERROR(INDEX(#REF!,MATCH(AV181,#REF!,0))*AW181,0))</f>
        <v>0</v>
      </c>
      <c r="AY181" s="7"/>
      <c r="AZ181" s="77"/>
      <c r="BA181" s="99">
        <f>IF(OR(AY181="",AZ181=""),0,IFERROR(INDEX(#REF!,MATCH(AY181,#REF!,0))*AZ181,0))</f>
        <v>0</v>
      </c>
      <c r="BB181" s="100">
        <f t="shared" si="25"/>
        <v>0</v>
      </c>
      <c r="BC181" s="110" t="str">
        <f t="shared" si="26"/>
        <v/>
      </c>
      <c r="BD181" s="62"/>
    </row>
    <row r="182" spans="1:56" ht="19.5" customHeight="1" x14ac:dyDescent="0.45">
      <c r="A182" s="104" t="str">
        <f t="shared" si="27"/>
        <v/>
      </c>
      <c r="B182" s="5"/>
      <c r="C182" s="109"/>
      <c r="D182" s="107"/>
      <c r="E182" s="6"/>
      <c r="F182" s="85"/>
      <c r="G182" s="85"/>
      <c r="H182" s="104" t="str">
        <f t="shared" si="19"/>
        <v/>
      </c>
      <c r="I182" s="103" t="str">
        <f>IFERROR(INDEX(#REF!,MATCH(E182,#REF!,0)),"")</f>
        <v/>
      </c>
      <c r="J182" s="6"/>
      <c r="K182" s="103" t="str">
        <f t="shared" si="20"/>
        <v/>
      </c>
      <c r="L182" s="8"/>
      <c r="M182" s="102" t="str">
        <f t="shared" si="21"/>
        <v/>
      </c>
      <c r="N182" s="9"/>
      <c r="O182" s="103" t="str">
        <f t="shared" si="22"/>
        <v/>
      </c>
      <c r="P182" s="6"/>
      <c r="Q182" s="7"/>
      <c r="R182" s="10"/>
      <c r="S182" s="29" t="str">
        <f t="shared" ca="1" si="23"/>
        <v/>
      </c>
      <c r="T182" s="7"/>
      <c r="U182" s="74"/>
      <c r="V182" s="101">
        <f>IF(OR(T182="",U182=""),0,IFERROR(INDEX(#REF!,MATCH(T182,#REF!,0))*U182,0))</f>
        <v>0</v>
      </c>
      <c r="W182" s="7"/>
      <c r="X182" s="74"/>
      <c r="Y182" s="101">
        <f>IF(OR(W182="",X182=""),0,IFERROR(INDEX(#REF!,MATCH(W182,#REF!,0))*X182,0))</f>
        <v>0</v>
      </c>
      <c r="Z182" s="7"/>
      <c r="AA182" s="74"/>
      <c r="AB182" s="101">
        <f>IF(OR(Z182="",AA182=""),0,IFERROR(INDEX(#REF!,MATCH(Z182,#REF!,0))*AA182,0))</f>
        <v>0</v>
      </c>
      <c r="AC182" s="7"/>
      <c r="AD182" s="74"/>
      <c r="AE182" s="101">
        <f>IF(OR(AC182="",AD182=""),0,IFERROR(INDEX(#REF!,MATCH(AC182,#REF!,0))*AD182,0))</f>
        <v>0</v>
      </c>
      <c r="AF182" s="7"/>
      <c r="AG182" s="74"/>
      <c r="AH182" s="101">
        <f>IF(OR(AF182="",AG182=""),0,IFERROR(INDEX(#REF!,MATCH(AF182,#REF!,0))*AG182,0))</f>
        <v>0</v>
      </c>
      <c r="AI182" s="7"/>
      <c r="AJ182" s="74"/>
      <c r="AK182" s="101">
        <f>IF(OR(AI182="",AJ182=""),0,IFERROR(INDEX(#REF!,MATCH(AI182,#REF!,0))*AJ182,0))</f>
        <v>0</v>
      </c>
      <c r="AL182" s="101">
        <f t="shared" si="24"/>
        <v>0</v>
      </c>
      <c r="AM182" s="7"/>
      <c r="AN182" s="72"/>
      <c r="AO182" s="99">
        <f>IF(OR(AM182="",AN182=""),0,IFERROR(INDEX(#REF!,MATCH(AM182,#REF!,0))*AN182,0))</f>
        <v>0</v>
      </c>
      <c r="AP182" s="7"/>
      <c r="AQ182" s="74"/>
      <c r="AR182" s="99">
        <f>IF(OR(AP182="",AQ182=""),0,IFERROR(INDEX(#REF!,MATCH(AP182,#REF!,0))*AQ182,0))</f>
        <v>0</v>
      </c>
      <c r="AS182" s="7"/>
      <c r="AT182" s="74"/>
      <c r="AU182" s="99">
        <f>IF(OR(AS182="",AT182=""),0,IFERROR(INDEX(#REF!,MATCH(AS182,#REF!,0))*AT182,0))</f>
        <v>0</v>
      </c>
      <c r="AV182" s="7"/>
      <c r="AW182" s="74"/>
      <c r="AX182" s="99">
        <f>IF(OR(AV182="",AW182=""),0,IFERROR(INDEX(#REF!,MATCH(AV182,#REF!,0))*AW182,0))</f>
        <v>0</v>
      </c>
      <c r="AY182" s="7"/>
      <c r="AZ182" s="77"/>
      <c r="BA182" s="99">
        <f>IF(OR(AY182="",AZ182=""),0,IFERROR(INDEX(#REF!,MATCH(AY182,#REF!,0))*AZ182,0))</f>
        <v>0</v>
      </c>
      <c r="BB182" s="100">
        <f t="shared" si="25"/>
        <v>0</v>
      </c>
      <c r="BC182" s="110" t="str">
        <f t="shared" si="26"/>
        <v/>
      </c>
      <c r="BD182" s="62"/>
    </row>
    <row r="183" spans="1:56" ht="19.5" customHeight="1" x14ac:dyDescent="0.45">
      <c r="A183" s="104" t="str">
        <f t="shared" si="27"/>
        <v/>
      </c>
      <c r="B183" s="5"/>
      <c r="C183" s="109"/>
      <c r="D183" s="107"/>
      <c r="E183" s="6"/>
      <c r="F183" s="85"/>
      <c r="G183" s="85"/>
      <c r="H183" s="104" t="str">
        <f t="shared" si="19"/>
        <v/>
      </c>
      <c r="I183" s="103" t="str">
        <f>IFERROR(INDEX(#REF!,MATCH(E183,#REF!,0)),"")</f>
        <v/>
      </c>
      <c r="J183" s="6"/>
      <c r="K183" s="103" t="str">
        <f t="shared" si="20"/>
        <v/>
      </c>
      <c r="L183" s="8"/>
      <c r="M183" s="102" t="str">
        <f t="shared" si="21"/>
        <v/>
      </c>
      <c r="N183" s="9"/>
      <c r="O183" s="103" t="str">
        <f t="shared" si="22"/>
        <v/>
      </c>
      <c r="P183" s="6"/>
      <c r="Q183" s="7"/>
      <c r="R183" s="10"/>
      <c r="S183" s="29" t="str">
        <f t="shared" ca="1" si="23"/>
        <v/>
      </c>
      <c r="T183" s="7"/>
      <c r="U183" s="74"/>
      <c r="V183" s="101">
        <f>IF(OR(T183="",U183=""),0,IFERROR(INDEX(#REF!,MATCH(T183,#REF!,0))*U183,0))</f>
        <v>0</v>
      </c>
      <c r="W183" s="7"/>
      <c r="X183" s="74"/>
      <c r="Y183" s="101">
        <f>IF(OR(W183="",X183=""),0,IFERROR(INDEX(#REF!,MATCH(W183,#REF!,0))*X183,0))</f>
        <v>0</v>
      </c>
      <c r="Z183" s="7"/>
      <c r="AA183" s="74"/>
      <c r="AB183" s="101">
        <f>IF(OR(Z183="",AA183=""),0,IFERROR(INDEX(#REF!,MATCH(Z183,#REF!,0))*AA183,0))</f>
        <v>0</v>
      </c>
      <c r="AC183" s="7"/>
      <c r="AD183" s="74"/>
      <c r="AE183" s="101">
        <f>IF(OR(AC183="",AD183=""),0,IFERROR(INDEX(#REF!,MATCH(AC183,#REF!,0))*AD183,0))</f>
        <v>0</v>
      </c>
      <c r="AF183" s="7"/>
      <c r="AG183" s="74"/>
      <c r="AH183" s="101">
        <f>IF(OR(AF183="",AG183=""),0,IFERROR(INDEX(#REF!,MATCH(AF183,#REF!,0))*AG183,0))</f>
        <v>0</v>
      </c>
      <c r="AI183" s="7"/>
      <c r="AJ183" s="74"/>
      <c r="AK183" s="101">
        <f>IF(OR(AI183="",AJ183=""),0,IFERROR(INDEX(#REF!,MATCH(AI183,#REF!,0))*AJ183,0))</f>
        <v>0</v>
      </c>
      <c r="AL183" s="101">
        <f t="shared" si="24"/>
        <v>0</v>
      </c>
      <c r="AM183" s="7"/>
      <c r="AN183" s="72"/>
      <c r="AO183" s="99">
        <f>IF(OR(AM183="",AN183=""),0,IFERROR(INDEX(#REF!,MATCH(AM183,#REF!,0))*AN183,0))</f>
        <v>0</v>
      </c>
      <c r="AP183" s="7"/>
      <c r="AQ183" s="74"/>
      <c r="AR183" s="99">
        <f>IF(OR(AP183="",AQ183=""),0,IFERROR(INDEX(#REF!,MATCH(AP183,#REF!,0))*AQ183,0))</f>
        <v>0</v>
      </c>
      <c r="AS183" s="7"/>
      <c r="AT183" s="74"/>
      <c r="AU183" s="99">
        <f>IF(OR(AS183="",AT183=""),0,IFERROR(INDEX(#REF!,MATCH(AS183,#REF!,0))*AT183,0))</f>
        <v>0</v>
      </c>
      <c r="AV183" s="7"/>
      <c r="AW183" s="74"/>
      <c r="AX183" s="99">
        <f>IF(OR(AV183="",AW183=""),0,IFERROR(INDEX(#REF!,MATCH(AV183,#REF!,0))*AW183,0))</f>
        <v>0</v>
      </c>
      <c r="AY183" s="7"/>
      <c r="AZ183" s="77"/>
      <c r="BA183" s="99">
        <f>IF(OR(AY183="",AZ183=""),0,IFERROR(INDEX(#REF!,MATCH(AY183,#REF!,0))*AZ183,0))</f>
        <v>0</v>
      </c>
      <c r="BB183" s="100">
        <f t="shared" si="25"/>
        <v>0</v>
      </c>
      <c r="BC183" s="110" t="str">
        <f t="shared" si="26"/>
        <v/>
      </c>
      <c r="BD183" s="62"/>
    </row>
    <row r="184" spans="1:56" ht="19.5" customHeight="1" x14ac:dyDescent="0.45">
      <c r="A184" s="104" t="str">
        <f t="shared" si="27"/>
        <v/>
      </c>
      <c r="B184" s="5"/>
      <c r="C184" s="109"/>
      <c r="D184" s="107"/>
      <c r="E184" s="6"/>
      <c r="F184" s="85"/>
      <c r="G184" s="85"/>
      <c r="H184" s="104" t="str">
        <f t="shared" si="19"/>
        <v/>
      </c>
      <c r="I184" s="103" t="str">
        <f>IFERROR(INDEX(#REF!,MATCH(E184,#REF!,0)),"")</f>
        <v/>
      </c>
      <c r="J184" s="6"/>
      <c r="K184" s="103" t="str">
        <f t="shared" si="20"/>
        <v/>
      </c>
      <c r="L184" s="8"/>
      <c r="M184" s="102" t="str">
        <f t="shared" si="21"/>
        <v/>
      </c>
      <c r="N184" s="9"/>
      <c r="O184" s="103" t="str">
        <f t="shared" si="22"/>
        <v/>
      </c>
      <c r="P184" s="6"/>
      <c r="Q184" s="7"/>
      <c r="R184" s="10"/>
      <c r="S184" s="29" t="str">
        <f t="shared" ca="1" si="23"/>
        <v/>
      </c>
      <c r="T184" s="7"/>
      <c r="U184" s="74"/>
      <c r="V184" s="101">
        <f>IF(OR(T184="",U184=""),0,IFERROR(INDEX(#REF!,MATCH(T184,#REF!,0))*U184,0))</f>
        <v>0</v>
      </c>
      <c r="W184" s="7"/>
      <c r="X184" s="74"/>
      <c r="Y184" s="101">
        <f>IF(OR(W184="",X184=""),0,IFERROR(INDEX(#REF!,MATCH(W184,#REF!,0))*X184,0))</f>
        <v>0</v>
      </c>
      <c r="Z184" s="7"/>
      <c r="AA184" s="74"/>
      <c r="AB184" s="101">
        <f>IF(OR(Z184="",AA184=""),0,IFERROR(INDEX(#REF!,MATCH(Z184,#REF!,0))*AA184,0))</f>
        <v>0</v>
      </c>
      <c r="AC184" s="7"/>
      <c r="AD184" s="74"/>
      <c r="AE184" s="101">
        <f>IF(OR(AC184="",AD184=""),0,IFERROR(INDEX(#REF!,MATCH(AC184,#REF!,0))*AD184,0))</f>
        <v>0</v>
      </c>
      <c r="AF184" s="7"/>
      <c r="AG184" s="74"/>
      <c r="AH184" s="101">
        <f>IF(OR(AF184="",AG184=""),0,IFERROR(INDEX(#REF!,MATCH(AF184,#REF!,0))*AG184,0))</f>
        <v>0</v>
      </c>
      <c r="AI184" s="7"/>
      <c r="AJ184" s="74"/>
      <c r="AK184" s="101">
        <f>IF(OR(AI184="",AJ184=""),0,IFERROR(INDEX(#REF!,MATCH(AI184,#REF!,0))*AJ184,0))</f>
        <v>0</v>
      </c>
      <c r="AL184" s="101">
        <f t="shared" si="24"/>
        <v>0</v>
      </c>
      <c r="AM184" s="7"/>
      <c r="AN184" s="72"/>
      <c r="AO184" s="99">
        <f>IF(OR(AM184="",AN184=""),0,IFERROR(INDEX(#REF!,MATCH(AM184,#REF!,0))*AN184,0))</f>
        <v>0</v>
      </c>
      <c r="AP184" s="7"/>
      <c r="AQ184" s="74"/>
      <c r="AR184" s="99">
        <f>IF(OR(AP184="",AQ184=""),0,IFERROR(INDEX(#REF!,MATCH(AP184,#REF!,0))*AQ184,0))</f>
        <v>0</v>
      </c>
      <c r="AS184" s="7"/>
      <c r="AT184" s="74"/>
      <c r="AU184" s="99">
        <f>IF(OR(AS184="",AT184=""),0,IFERROR(INDEX(#REF!,MATCH(AS184,#REF!,0))*AT184,0))</f>
        <v>0</v>
      </c>
      <c r="AV184" s="7"/>
      <c r="AW184" s="74"/>
      <c r="AX184" s="99">
        <f>IF(OR(AV184="",AW184=""),0,IFERROR(INDEX(#REF!,MATCH(AV184,#REF!,0))*AW184,0))</f>
        <v>0</v>
      </c>
      <c r="AY184" s="7"/>
      <c r="AZ184" s="77"/>
      <c r="BA184" s="99">
        <f>IF(OR(AY184="",AZ184=""),0,IFERROR(INDEX(#REF!,MATCH(AY184,#REF!,0))*AZ184,0))</f>
        <v>0</v>
      </c>
      <c r="BB184" s="100">
        <f t="shared" si="25"/>
        <v>0</v>
      </c>
      <c r="BC184" s="110" t="str">
        <f t="shared" si="26"/>
        <v/>
      </c>
      <c r="BD184" s="62"/>
    </row>
    <row r="185" spans="1:56" ht="19.5" customHeight="1" x14ac:dyDescent="0.45">
      <c r="A185" s="104" t="str">
        <f t="shared" si="27"/>
        <v/>
      </c>
      <c r="B185" s="5"/>
      <c r="C185" s="109"/>
      <c r="D185" s="107"/>
      <c r="E185" s="6"/>
      <c r="F185" s="85"/>
      <c r="G185" s="85"/>
      <c r="H185" s="104" t="str">
        <f t="shared" si="19"/>
        <v/>
      </c>
      <c r="I185" s="103" t="str">
        <f>IFERROR(INDEX(#REF!,MATCH(E185,#REF!,0)),"")</f>
        <v/>
      </c>
      <c r="J185" s="6"/>
      <c r="K185" s="103" t="str">
        <f t="shared" si="20"/>
        <v/>
      </c>
      <c r="L185" s="8"/>
      <c r="M185" s="102" t="str">
        <f t="shared" si="21"/>
        <v/>
      </c>
      <c r="N185" s="9"/>
      <c r="O185" s="103" t="str">
        <f t="shared" si="22"/>
        <v/>
      </c>
      <c r="P185" s="6"/>
      <c r="Q185" s="7"/>
      <c r="R185" s="10"/>
      <c r="S185" s="29" t="str">
        <f t="shared" ca="1" si="23"/>
        <v/>
      </c>
      <c r="T185" s="7"/>
      <c r="U185" s="74"/>
      <c r="V185" s="101">
        <f>IF(OR(T185="",U185=""),0,IFERROR(INDEX(#REF!,MATCH(T185,#REF!,0))*U185,0))</f>
        <v>0</v>
      </c>
      <c r="W185" s="7"/>
      <c r="X185" s="74"/>
      <c r="Y185" s="101">
        <f>IF(OR(W185="",X185=""),0,IFERROR(INDEX(#REF!,MATCH(W185,#REF!,0))*X185,0))</f>
        <v>0</v>
      </c>
      <c r="Z185" s="7"/>
      <c r="AA185" s="74"/>
      <c r="AB185" s="101">
        <f>IF(OR(Z185="",AA185=""),0,IFERROR(INDEX(#REF!,MATCH(Z185,#REF!,0))*AA185,0))</f>
        <v>0</v>
      </c>
      <c r="AC185" s="7"/>
      <c r="AD185" s="74"/>
      <c r="AE185" s="101">
        <f>IF(OR(AC185="",AD185=""),0,IFERROR(INDEX(#REF!,MATCH(AC185,#REF!,0))*AD185,0))</f>
        <v>0</v>
      </c>
      <c r="AF185" s="7"/>
      <c r="AG185" s="74"/>
      <c r="AH185" s="101">
        <f>IF(OR(AF185="",AG185=""),0,IFERROR(INDEX(#REF!,MATCH(AF185,#REF!,0))*AG185,0))</f>
        <v>0</v>
      </c>
      <c r="AI185" s="7"/>
      <c r="AJ185" s="74"/>
      <c r="AK185" s="101">
        <f>IF(OR(AI185="",AJ185=""),0,IFERROR(INDEX(#REF!,MATCH(AI185,#REF!,0))*AJ185,0))</f>
        <v>0</v>
      </c>
      <c r="AL185" s="101">
        <f t="shared" si="24"/>
        <v>0</v>
      </c>
      <c r="AM185" s="7"/>
      <c r="AN185" s="72"/>
      <c r="AO185" s="99">
        <f>IF(OR(AM185="",AN185=""),0,IFERROR(INDEX(#REF!,MATCH(AM185,#REF!,0))*AN185,0))</f>
        <v>0</v>
      </c>
      <c r="AP185" s="7"/>
      <c r="AQ185" s="74"/>
      <c r="AR185" s="99">
        <f>IF(OR(AP185="",AQ185=""),0,IFERROR(INDEX(#REF!,MATCH(AP185,#REF!,0))*AQ185,0))</f>
        <v>0</v>
      </c>
      <c r="AS185" s="7"/>
      <c r="AT185" s="74"/>
      <c r="AU185" s="99">
        <f>IF(OR(AS185="",AT185=""),0,IFERROR(INDEX(#REF!,MATCH(AS185,#REF!,0))*AT185,0))</f>
        <v>0</v>
      </c>
      <c r="AV185" s="7"/>
      <c r="AW185" s="74"/>
      <c r="AX185" s="99">
        <f>IF(OR(AV185="",AW185=""),0,IFERROR(INDEX(#REF!,MATCH(AV185,#REF!,0))*AW185,0))</f>
        <v>0</v>
      </c>
      <c r="AY185" s="7"/>
      <c r="AZ185" s="77"/>
      <c r="BA185" s="99">
        <f>IF(OR(AY185="",AZ185=""),0,IFERROR(INDEX(#REF!,MATCH(AY185,#REF!,0))*AZ185,0))</f>
        <v>0</v>
      </c>
      <c r="BB185" s="100">
        <f t="shared" si="25"/>
        <v>0</v>
      </c>
      <c r="BC185" s="110" t="str">
        <f t="shared" si="26"/>
        <v/>
      </c>
      <c r="BD185" s="62"/>
    </row>
    <row r="186" spans="1:56" ht="19.5" customHeight="1" x14ac:dyDescent="0.45">
      <c r="A186" s="104" t="str">
        <f t="shared" si="27"/>
        <v/>
      </c>
      <c r="B186" s="5"/>
      <c r="C186" s="109"/>
      <c r="D186" s="107"/>
      <c r="E186" s="6"/>
      <c r="F186" s="85"/>
      <c r="G186" s="85"/>
      <c r="H186" s="104" t="str">
        <f t="shared" si="19"/>
        <v/>
      </c>
      <c r="I186" s="103" t="str">
        <f>IFERROR(INDEX(#REF!,MATCH(E186,#REF!,0)),"")</f>
        <v/>
      </c>
      <c r="J186" s="6"/>
      <c r="K186" s="103" t="str">
        <f t="shared" si="20"/>
        <v/>
      </c>
      <c r="L186" s="8"/>
      <c r="M186" s="102" t="str">
        <f t="shared" si="21"/>
        <v/>
      </c>
      <c r="N186" s="9"/>
      <c r="O186" s="103" t="str">
        <f t="shared" si="22"/>
        <v/>
      </c>
      <c r="P186" s="6"/>
      <c r="Q186" s="7"/>
      <c r="R186" s="10"/>
      <c r="S186" s="29" t="str">
        <f t="shared" ca="1" si="23"/>
        <v/>
      </c>
      <c r="T186" s="7"/>
      <c r="U186" s="74"/>
      <c r="V186" s="101">
        <f>IF(OR(T186="",U186=""),0,IFERROR(INDEX(#REF!,MATCH(T186,#REF!,0))*U186,0))</f>
        <v>0</v>
      </c>
      <c r="W186" s="7"/>
      <c r="X186" s="74"/>
      <c r="Y186" s="101">
        <f>IF(OR(W186="",X186=""),0,IFERROR(INDEX(#REF!,MATCH(W186,#REF!,0))*X186,0))</f>
        <v>0</v>
      </c>
      <c r="Z186" s="7"/>
      <c r="AA186" s="74"/>
      <c r="AB186" s="101">
        <f>IF(OR(Z186="",AA186=""),0,IFERROR(INDEX(#REF!,MATCH(Z186,#REF!,0))*AA186,0))</f>
        <v>0</v>
      </c>
      <c r="AC186" s="7"/>
      <c r="AD186" s="74"/>
      <c r="AE186" s="101">
        <f>IF(OR(AC186="",AD186=""),0,IFERROR(INDEX(#REF!,MATCH(AC186,#REF!,0))*AD186,0))</f>
        <v>0</v>
      </c>
      <c r="AF186" s="7"/>
      <c r="AG186" s="74"/>
      <c r="AH186" s="101">
        <f>IF(OR(AF186="",AG186=""),0,IFERROR(INDEX(#REF!,MATCH(AF186,#REF!,0))*AG186,0))</f>
        <v>0</v>
      </c>
      <c r="AI186" s="7"/>
      <c r="AJ186" s="74"/>
      <c r="AK186" s="101">
        <f>IF(OR(AI186="",AJ186=""),0,IFERROR(INDEX(#REF!,MATCH(AI186,#REF!,0))*AJ186,0))</f>
        <v>0</v>
      </c>
      <c r="AL186" s="101">
        <f t="shared" si="24"/>
        <v>0</v>
      </c>
      <c r="AM186" s="7"/>
      <c r="AN186" s="72"/>
      <c r="AO186" s="99">
        <f>IF(OR(AM186="",AN186=""),0,IFERROR(INDEX(#REF!,MATCH(AM186,#REF!,0))*AN186,0))</f>
        <v>0</v>
      </c>
      <c r="AP186" s="7"/>
      <c r="AQ186" s="74"/>
      <c r="AR186" s="99">
        <f>IF(OR(AP186="",AQ186=""),0,IFERROR(INDEX(#REF!,MATCH(AP186,#REF!,0))*AQ186,0))</f>
        <v>0</v>
      </c>
      <c r="AS186" s="7"/>
      <c r="AT186" s="74"/>
      <c r="AU186" s="99">
        <f>IF(OR(AS186="",AT186=""),0,IFERROR(INDEX(#REF!,MATCH(AS186,#REF!,0))*AT186,0))</f>
        <v>0</v>
      </c>
      <c r="AV186" s="7"/>
      <c r="AW186" s="74"/>
      <c r="AX186" s="99">
        <f>IF(OR(AV186="",AW186=""),0,IFERROR(INDEX(#REF!,MATCH(AV186,#REF!,0))*AW186,0))</f>
        <v>0</v>
      </c>
      <c r="AY186" s="7"/>
      <c r="AZ186" s="77"/>
      <c r="BA186" s="99">
        <f>IF(OR(AY186="",AZ186=""),0,IFERROR(INDEX(#REF!,MATCH(AY186,#REF!,0))*AZ186,0))</f>
        <v>0</v>
      </c>
      <c r="BB186" s="100">
        <f t="shared" si="25"/>
        <v>0</v>
      </c>
      <c r="BC186" s="110" t="str">
        <f t="shared" si="26"/>
        <v/>
      </c>
      <c r="BD186" s="62"/>
    </row>
    <row r="187" spans="1:56" ht="19.5" customHeight="1" x14ac:dyDescent="0.45">
      <c r="A187" s="104" t="str">
        <f t="shared" si="27"/>
        <v/>
      </c>
      <c r="B187" s="5"/>
      <c r="C187" s="109"/>
      <c r="D187" s="107"/>
      <c r="E187" s="6"/>
      <c r="F187" s="85"/>
      <c r="G187" s="85"/>
      <c r="H187" s="104" t="str">
        <f t="shared" si="19"/>
        <v/>
      </c>
      <c r="I187" s="103" t="str">
        <f>IFERROR(INDEX(#REF!,MATCH(E187,#REF!,0)),"")</f>
        <v/>
      </c>
      <c r="J187" s="6"/>
      <c r="K187" s="103" t="str">
        <f t="shared" si="20"/>
        <v/>
      </c>
      <c r="L187" s="8"/>
      <c r="M187" s="102" t="str">
        <f t="shared" si="21"/>
        <v/>
      </c>
      <c r="N187" s="9"/>
      <c r="O187" s="103" t="str">
        <f t="shared" si="22"/>
        <v/>
      </c>
      <c r="P187" s="6"/>
      <c r="Q187" s="7"/>
      <c r="R187" s="10"/>
      <c r="S187" s="29" t="str">
        <f t="shared" ca="1" si="23"/>
        <v/>
      </c>
      <c r="T187" s="7"/>
      <c r="U187" s="74"/>
      <c r="V187" s="101">
        <f>IF(OR(T187="",U187=""),0,IFERROR(INDEX(#REF!,MATCH(T187,#REF!,0))*U187,0))</f>
        <v>0</v>
      </c>
      <c r="W187" s="7"/>
      <c r="X187" s="74"/>
      <c r="Y187" s="101">
        <f>IF(OR(W187="",X187=""),0,IFERROR(INDEX(#REF!,MATCH(W187,#REF!,0))*X187,0))</f>
        <v>0</v>
      </c>
      <c r="Z187" s="7"/>
      <c r="AA187" s="74"/>
      <c r="AB187" s="101">
        <f>IF(OR(Z187="",AA187=""),0,IFERROR(INDEX(#REF!,MATCH(Z187,#REF!,0))*AA187,0))</f>
        <v>0</v>
      </c>
      <c r="AC187" s="7"/>
      <c r="AD187" s="74"/>
      <c r="AE187" s="101">
        <f>IF(OR(AC187="",AD187=""),0,IFERROR(INDEX(#REF!,MATCH(AC187,#REF!,0))*AD187,0))</f>
        <v>0</v>
      </c>
      <c r="AF187" s="7"/>
      <c r="AG187" s="74"/>
      <c r="AH187" s="101">
        <f>IF(OR(AF187="",AG187=""),0,IFERROR(INDEX(#REF!,MATCH(AF187,#REF!,0))*AG187,0))</f>
        <v>0</v>
      </c>
      <c r="AI187" s="7"/>
      <c r="AJ187" s="74"/>
      <c r="AK187" s="101">
        <f>IF(OR(AI187="",AJ187=""),0,IFERROR(INDEX(#REF!,MATCH(AI187,#REF!,0))*AJ187,0))</f>
        <v>0</v>
      </c>
      <c r="AL187" s="101">
        <f t="shared" si="24"/>
        <v>0</v>
      </c>
      <c r="AM187" s="7"/>
      <c r="AN187" s="72"/>
      <c r="AO187" s="99">
        <f>IF(OR(AM187="",AN187=""),0,IFERROR(INDEX(#REF!,MATCH(AM187,#REF!,0))*AN187,0))</f>
        <v>0</v>
      </c>
      <c r="AP187" s="7"/>
      <c r="AQ187" s="74"/>
      <c r="AR187" s="99">
        <f>IF(OR(AP187="",AQ187=""),0,IFERROR(INDEX(#REF!,MATCH(AP187,#REF!,0))*AQ187,0))</f>
        <v>0</v>
      </c>
      <c r="AS187" s="7"/>
      <c r="AT187" s="74"/>
      <c r="AU187" s="99">
        <f>IF(OR(AS187="",AT187=""),0,IFERROR(INDEX(#REF!,MATCH(AS187,#REF!,0))*AT187,0))</f>
        <v>0</v>
      </c>
      <c r="AV187" s="7"/>
      <c r="AW187" s="74"/>
      <c r="AX187" s="99">
        <f>IF(OR(AV187="",AW187=""),0,IFERROR(INDEX(#REF!,MATCH(AV187,#REF!,0))*AW187,0))</f>
        <v>0</v>
      </c>
      <c r="AY187" s="7"/>
      <c r="AZ187" s="77"/>
      <c r="BA187" s="99">
        <f>IF(OR(AY187="",AZ187=""),0,IFERROR(INDEX(#REF!,MATCH(AY187,#REF!,0))*AZ187,0))</f>
        <v>0</v>
      </c>
      <c r="BB187" s="100">
        <f t="shared" si="25"/>
        <v>0</v>
      </c>
      <c r="BC187" s="110" t="str">
        <f t="shared" si="26"/>
        <v/>
      </c>
      <c r="BD187" s="62"/>
    </row>
    <row r="188" spans="1:56" ht="19.5" customHeight="1" x14ac:dyDescent="0.45">
      <c r="A188" s="104" t="str">
        <f t="shared" si="27"/>
        <v/>
      </c>
      <c r="B188" s="5"/>
      <c r="C188" s="109"/>
      <c r="D188" s="107"/>
      <c r="E188" s="6"/>
      <c r="F188" s="85"/>
      <c r="G188" s="85"/>
      <c r="H188" s="104" t="str">
        <f t="shared" si="19"/>
        <v/>
      </c>
      <c r="I188" s="103" t="str">
        <f>IFERROR(INDEX(#REF!,MATCH(E188,#REF!,0)),"")</f>
        <v/>
      </c>
      <c r="J188" s="6"/>
      <c r="K188" s="103" t="str">
        <f t="shared" si="20"/>
        <v/>
      </c>
      <c r="L188" s="8"/>
      <c r="M188" s="102" t="str">
        <f t="shared" si="21"/>
        <v/>
      </c>
      <c r="N188" s="9"/>
      <c r="O188" s="103" t="str">
        <f t="shared" si="22"/>
        <v/>
      </c>
      <c r="P188" s="6"/>
      <c r="Q188" s="7"/>
      <c r="R188" s="10"/>
      <c r="S188" s="29" t="str">
        <f t="shared" ca="1" si="23"/>
        <v/>
      </c>
      <c r="T188" s="7"/>
      <c r="U188" s="74"/>
      <c r="V188" s="101">
        <f>IF(OR(T188="",U188=""),0,IFERROR(INDEX(#REF!,MATCH(T188,#REF!,0))*U188,0))</f>
        <v>0</v>
      </c>
      <c r="W188" s="7"/>
      <c r="X188" s="74"/>
      <c r="Y188" s="101">
        <f>IF(OR(W188="",X188=""),0,IFERROR(INDEX(#REF!,MATCH(W188,#REF!,0))*X188,0))</f>
        <v>0</v>
      </c>
      <c r="Z188" s="7"/>
      <c r="AA188" s="74"/>
      <c r="AB188" s="101">
        <f>IF(OR(Z188="",AA188=""),0,IFERROR(INDEX(#REF!,MATCH(Z188,#REF!,0))*AA188,0))</f>
        <v>0</v>
      </c>
      <c r="AC188" s="7"/>
      <c r="AD188" s="74"/>
      <c r="AE188" s="101">
        <f>IF(OR(AC188="",AD188=""),0,IFERROR(INDEX(#REF!,MATCH(AC188,#REF!,0))*AD188,0))</f>
        <v>0</v>
      </c>
      <c r="AF188" s="7"/>
      <c r="AG188" s="74"/>
      <c r="AH188" s="101">
        <f>IF(OR(AF188="",AG188=""),0,IFERROR(INDEX(#REF!,MATCH(AF188,#REF!,0))*AG188,0))</f>
        <v>0</v>
      </c>
      <c r="AI188" s="7"/>
      <c r="AJ188" s="74"/>
      <c r="AK188" s="101">
        <f>IF(OR(AI188="",AJ188=""),0,IFERROR(INDEX(#REF!,MATCH(AI188,#REF!,0))*AJ188,0))</f>
        <v>0</v>
      </c>
      <c r="AL188" s="101">
        <f t="shared" si="24"/>
        <v>0</v>
      </c>
      <c r="AM188" s="7"/>
      <c r="AN188" s="72"/>
      <c r="AO188" s="99">
        <f>IF(OR(AM188="",AN188=""),0,IFERROR(INDEX(#REF!,MATCH(AM188,#REF!,0))*AN188,0))</f>
        <v>0</v>
      </c>
      <c r="AP188" s="7"/>
      <c r="AQ188" s="74"/>
      <c r="AR188" s="99">
        <f>IF(OR(AP188="",AQ188=""),0,IFERROR(INDEX(#REF!,MATCH(AP188,#REF!,0))*AQ188,0))</f>
        <v>0</v>
      </c>
      <c r="AS188" s="7"/>
      <c r="AT188" s="74"/>
      <c r="AU188" s="99">
        <f>IF(OR(AS188="",AT188=""),0,IFERROR(INDEX(#REF!,MATCH(AS188,#REF!,0))*AT188,0))</f>
        <v>0</v>
      </c>
      <c r="AV188" s="7"/>
      <c r="AW188" s="74"/>
      <c r="AX188" s="99">
        <f>IF(OR(AV188="",AW188=""),0,IFERROR(INDEX(#REF!,MATCH(AV188,#REF!,0))*AW188,0))</f>
        <v>0</v>
      </c>
      <c r="AY188" s="7"/>
      <c r="AZ188" s="77"/>
      <c r="BA188" s="99">
        <f>IF(OR(AY188="",AZ188=""),0,IFERROR(INDEX(#REF!,MATCH(AY188,#REF!,0))*AZ188,0))</f>
        <v>0</v>
      </c>
      <c r="BB188" s="100">
        <f t="shared" si="25"/>
        <v>0</v>
      </c>
      <c r="BC188" s="110" t="str">
        <f t="shared" si="26"/>
        <v/>
      </c>
      <c r="BD188" s="62"/>
    </row>
    <row r="189" spans="1:56" ht="19.5" customHeight="1" x14ac:dyDescent="0.45">
      <c r="A189" s="104" t="str">
        <f t="shared" si="27"/>
        <v/>
      </c>
      <c r="B189" s="5"/>
      <c r="C189" s="109"/>
      <c r="D189" s="107"/>
      <c r="E189" s="6"/>
      <c r="F189" s="85"/>
      <c r="G189" s="85"/>
      <c r="H189" s="104" t="str">
        <f t="shared" si="19"/>
        <v/>
      </c>
      <c r="I189" s="103" t="str">
        <f>IFERROR(INDEX(#REF!,MATCH(E189,#REF!,0)),"")</f>
        <v/>
      </c>
      <c r="J189" s="6"/>
      <c r="K189" s="103" t="str">
        <f t="shared" si="20"/>
        <v/>
      </c>
      <c r="L189" s="8"/>
      <c r="M189" s="102" t="str">
        <f t="shared" si="21"/>
        <v/>
      </c>
      <c r="N189" s="9"/>
      <c r="O189" s="103" t="str">
        <f t="shared" si="22"/>
        <v/>
      </c>
      <c r="P189" s="6"/>
      <c r="Q189" s="7"/>
      <c r="R189" s="10"/>
      <c r="S189" s="29" t="str">
        <f t="shared" ca="1" si="23"/>
        <v/>
      </c>
      <c r="T189" s="7"/>
      <c r="U189" s="74"/>
      <c r="V189" s="101">
        <f>IF(OR(T189="",U189=""),0,IFERROR(INDEX(#REF!,MATCH(T189,#REF!,0))*U189,0))</f>
        <v>0</v>
      </c>
      <c r="W189" s="7"/>
      <c r="X189" s="74"/>
      <c r="Y189" s="101">
        <f>IF(OR(W189="",X189=""),0,IFERROR(INDEX(#REF!,MATCH(W189,#REF!,0))*X189,0))</f>
        <v>0</v>
      </c>
      <c r="Z189" s="7"/>
      <c r="AA189" s="74"/>
      <c r="AB189" s="101">
        <f>IF(OR(Z189="",AA189=""),0,IFERROR(INDEX(#REF!,MATCH(Z189,#REF!,0))*AA189,0))</f>
        <v>0</v>
      </c>
      <c r="AC189" s="7"/>
      <c r="AD189" s="74"/>
      <c r="AE189" s="101">
        <f>IF(OR(AC189="",AD189=""),0,IFERROR(INDEX(#REF!,MATCH(AC189,#REF!,0))*AD189,0))</f>
        <v>0</v>
      </c>
      <c r="AF189" s="7"/>
      <c r="AG189" s="74"/>
      <c r="AH189" s="101">
        <f>IF(OR(AF189="",AG189=""),0,IFERROR(INDEX(#REF!,MATCH(AF189,#REF!,0))*AG189,0))</f>
        <v>0</v>
      </c>
      <c r="AI189" s="7"/>
      <c r="AJ189" s="74"/>
      <c r="AK189" s="101">
        <f>IF(OR(AI189="",AJ189=""),0,IFERROR(INDEX(#REF!,MATCH(AI189,#REF!,0))*AJ189,0))</f>
        <v>0</v>
      </c>
      <c r="AL189" s="101">
        <f t="shared" si="24"/>
        <v>0</v>
      </c>
      <c r="AM189" s="7"/>
      <c r="AN189" s="72"/>
      <c r="AO189" s="99">
        <f>IF(OR(AM189="",AN189=""),0,IFERROR(INDEX(#REF!,MATCH(AM189,#REF!,0))*AN189,0))</f>
        <v>0</v>
      </c>
      <c r="AP189" s="7"/>
      <c r="AQ189" s="74"/>
      <c r="AR189" s="99">
        <f>IF(OR(AP189="",AQ189=""),0,IFERROR(INDEX(#REF!,MATCH(AP189,#REF!,0))*AQ189,0))</f>
        <v>0</v>
      </c>
      <c r="AS189" s="7"/>
      <c r="AT189" s="74"/>
      <c r="AU189" s="99">
        <f>IF(OR(AS189="",AT189=""),0,IFERROR(INDEX(#REF!,MATCH(AS189,#REF!,0))*AT189,0))</f>
        <v>0</v>
      </c>
      <c r="AV189" s="7"/>
      <c r="AW189" s="74"/>
      <c r="AX189" s="99">
        <f>IF(OR(AV189="",AW189=""),0,IFERROR(INDEX(#REF!,MATCH(AV189,#REF!,0))*AW189,0))</f>
        <v>0</v>
      </c>
      <c r="AY189" s="7"/>
      <c r="AZ189" s="77"/>
      <c r="BA189" s="99">
        <f>IF(OR(AY189="",AZ189=""),0,IFERROR(INDEX(#REF!,MATCH(AY189,#REF!,0))*AZ189,0))</f>
        <v>0</v>
      </c>
      <c r="BB189" s="100">
        <f t="shared" si="25"/>
        <v>0</v>
      </c>
      <c r="BC189" s="110" t="str">
        <f t="shared" si="26"/>
        <v/>
      </c>
      <c r="BD189" s="62"/>
    </row>
    <row r="190" spans="1:56" ht="19.5" customHeight="1" x14ac:dyDescent="0.45">
      <c r="A190" s="104" t="str">
        <f t="shared" si="27"/>
        <v/>
      </c>
      <c r="B190" s="5"/>
      <c r="C190" s="109"/>
      <c r="D190" s="107"/>
      <c r="E190" s="6"/>
      <c r="F190" s="85"/>
      <c r="G190" s="85"/>
      <c r="H190" s="104" t="str">
        <f t="shared" si="19"/>
        <v/>
      </c>
      <c r="I190" s="103" t="str">
        <f>IFERROR(INDEX(#REF!,MATCH(E190,#REF!,0)),"")</f>
        <v/>
      </c>
      <c r="J190" s="6"/>
      <c r="K190" s="103" t="str">
        <f t="shared" si="20"/>
        <v/>
      </c>
      <c r="L190" s="8"/>
      <c r="M190" s="102" t="str">
        <f t="shared" si="21"/>
        <v/>
      </c>
      <c r="N190" s="9"/>
      <c r="O190" s="103" t="str">
        <f t="shared" si="22"/>
        <v/>
      </c>
      <c r="P190" s="6"/>
      <c r="Q190" s="7"/>
      <c r="R190" s="10"/>
      <c r="S190" s="29" t="str">
        <f t="shared" ca="1" si="23"/>
        <v/>
      </c>
      <c r="T190" s="7"/>
      <c r="U190" s="74"/>
      <c r="V190" s="101">
        <f>IF(OR(T190="",U190=""),0,IFERROR(INDEX(#REF!,MATCH(T190,#REF!,0))*U190,0))</f>
        <v>0</v>
      </c>
      <c r="W190" s="7"/>
      <c r="X190" s="74"/>
      <c r="Y190" s="101">
        <f>IF(OR(W190="",X190=""),0,IFERROR(INDEX(#REF!,MATCH(W190,#REF!,0))*X190,0))</f>
        <v>0</v>
      </c>
      <c r="Z190" s="7"/>
      <c r="AA190" s="74"/>
      <c r="AB190" s="101">
        <f>IF(OR(Z190="",AA190=""),0,IFERROR(INDEX(#REF!,MATCH(Z190,#REF!,0))*AA190,0))</f>
        <v>0</v>
      </c>
      <c r="AC190" s="7"/>
      <c r="AD190" s="74"/>
      <c r="AE190" s="101">
        <f>IF(OR(AC190="",AD190=""),0,IFERROR(INDEX(#REF!,MATCH(AC190,#REF!,0))*AD190,0))</f>
        <v>0</v>
      </c>
      <c r="AF190" s="7"/>
      <c r="AG190" s="74"/>
      <c r="AH190" s="101">
        <f>IF(OR(AF190="",AG190=""),0,IFERROR(INDEX(#REF!,MATCH(AF190,#REF!,0))*AG190,0))</f>
        <v>0</v>
      </c>
      <c r="AI190" s="7"/>
      <c r="AJ190" s="74"/>
      <c r="AK190" s="101">
        <f>IF(OR(AI190="",AJ190=""),0,IFERROR(INDEX(#REF!,MATCH(AI190,#REF!,0))*AJ190,0))</f>
        <v>0</v>
      </c>
      <c r="AL190" s="101">
        <f t="shared" si="24"/>
        <v>0</v>
      </c>
      <c r="AM190" s="7"/>
      <c r="AN190" s="72"/>
      <c r="AO190" s="99">
        <f>IF(OR(AM190="",AN190=""),0,IFERROR(INDEX(#REF!,MATCH(AM190,#REF!,0))*AN190,0))</f>
        <v>0</v>
      </c>
      <c r="AP190" s="7"/>
      <c r="AQ190" s="74"/>
      <c r="AR190" s="99">
        <f>IF(OR(AP190="",AQ190=""),0,IFERROR(INDEX(#REF!,MATCH(AP190,#REF!,0))*AQ190,0))</f>
        <v>0</v>
      </c>
      <c r="AS190" s="7"/>
      <c r="AT190" s="74"/>
      <c r="AU190" s="99">
        <f>IF(OR(AS190="",AT190=""),0,IFERROR(INDEX(#REF!,MATCH(AS190,#REF!,0))*AT190,0))</f>
        <v>0</v>
      </c>
      <c r="AV190" s="7"/>
      <c r="AW190" s="74"/>
      <c r="AX190" s="99">
        <f>IF(OR(AV190="",AW190=""),0,IFERROR(INDEX(#REF!,MATCH(AV190,#REF!,0))*AW190,0))</f>
        <v>0</v>
      </c>
      <c r="AY190" s="7"/>
      <c r="AZ190" s="77"/>
      <c r="BA190" s="99">
        <f>IF(OR(AY190="",AZ190=""),0,IFERROR(INDEX(#REF!,MATCH(AY190,#REF!,0))*AZ190,0))</f>
        <v>0</v>
      </c>
      <c r="BB190" s="100">
        <f t="shared" si="25"/>
        <v>0</v>
      </c>
      <c r="BC190" s="110" t="str">
        <f t="shared" si="26"/>
        <v/>
      </c>
      <c r="BD190" s="62"/>
    </row>
    <row r="191" spans="1:56" ht="19.5" customHeight="1" x14ac:dyDescent="0.45">
      <c r="A191" s="104" t="str">
        <f t="shared" si="27"/>
        <v/>
      </c>
      <c r="B191" s="5"/>
      <c r="C191" s="109"/>
      <c r="D191" s="107"/>
      <c r="E191" s="6"/>
      <c r="F191" s="85"/>
      <c r="G191" s="85"/>
      <c r="H191" s="104" t="str">
        <f t="shared" si="19"/>
        <v/>
      </c>
      <c r="I191" s="103" t="str">
        <f>IFERROR(INDEX(#REF!,MATCH(E191,#REF!,0)),"")</f>
        <v/>
      </c>
      <c r="J191" s="6"/>
      <c r="K191" s="103" t="str">
        <f t="shared" si="20"/>
        <v/>
      </c>
      <c r="L191" s="8"/>
      <c r="M191" s="102" t="str">
        <f t="shared" si="21"/>
        <v/>
      </c>
      <c r="N191" s="9"/>
      <c r="O191" s="103" t="str">
        <f t="shared" si="22"/>
        <v/>
      </c>
      <c r="P191" s="6"/>
      <c r="Q191" s="7"/>
      <c r="R191" s="10"/>
      <c r="S191" s="29" t="str">
        <f t="shared" ca="1" si="23"/>
        <v/>
      </c>
      <c r="T191" s="7"/>
      <c r="U191" s="74"/>
      <c r="V191" s="101">
        <f>IF(OR(T191="",U191=""),0,IFERROR(INDEX(#REF!,MATCH(T191,#REF!,0))*U191,0))</f>
        <v>0</v>
      </c>
      <c r="W191" s="7"/>
      <c r="X191" s="74"/>
      <c r="Y191" s="101">
        <f>IF(OR(W191="",X191=""),0,IFERROR(INDEX(#REF!,MATCH(W191,#REF!,0))*X191,0))</f>
        <v>0</v>
      </c>
      <c r="Z191" s="7"/>
      <c r="AA191" s="74"/>
      <c r="AB191" s="101">
        <f>IF(OR(Z191="",AA191=""),0,IFERROR(INDEX(#REF!,MATCH(Z191,#REF!,0))*AA191,0))</f>
        <v>0</v>
      </c>
      <c r="AC191" s="7"/>
      <c r="AD191" s="74"/>
      <c r="AE191" s="101">
        <f>IF(OR(AC191="",AD191=""),0,IFERROR(INDEX(#REF!,MATCH(AC191,#REF!,0))*AD191,0))</f>
        <v>0</v>
      </c>
      <c r="AF191" s="7"/>
      <c r="AG191" s="74"/>
      <c r="AH191" s="101">
        <f>IF(OR(AF191="",AG191=""),0,IFERROR(INDEX(#REF!,MATCH(AF191,#REF!,0))*AG191,0))</f>
        <v>0</v>
      </c>
      <c r="AI191" s="7"/>
      <c r="AJ191" s="74"/>
      <c r="AK191" s="101">
        <f>IF(OR(AI191="",AJ191=""),0,IFERROR(INDEX(#REF!,MATCH(AI191,#REF!,0))*AJ191,0))</f>
        <v>0</v>
      </c>
      <c r="AL191" s="101">
        <f t="shared" si="24"/>
        <v>0</v>
      </c>
      <c r="AM191" s="7"/>
      <c r="AN191" s="72"/>
      <c r="AO191" s="99">
        <f>IF(OR(AM191="",AN191=""),0,IFERROR(INDEX(#REF!,MATCH(AM191,#REF!,0))*AN191,0))</f>
        <v>0</v>
      </c>
      <c r="AP191" s="7"/>
      <c r="AQ191" s="74"/>
      <c r="AR191" s="99">
        <f>IF(OR(AP191="",AQ191=""),0,IFERROR(INDEX(#REF!,MATCH(AP191,#REF!,0))*AQ191,0))</f>
        <v>0</v>
      </c>
      <c r="AS191" s="7"/>
      <c r="AT191" s="74"/>
      <c r="AU191" s="99">
        <f>IF(OR(AS191="",AT191=""),0,IFERROR(INDEX(#REF!,MATCH(AS191,#REF!,0))*AT191,0))</f>
        <v>0</v>
      </c>
      <c r="AV191" s="7"/>
      <c r="AW191" s="74"/>
      <c r="AX191" s="99">
        <f>IF(OR(AV191="",AW191=""),0,IFERROR(INDEX(#REF!,MATCH(AV191,#REF!,0))*AW191,0))</f>
        <v>0</v>
      </c>
      <c r="AY191" s="7"/>
      <c r="AZ191" s="77"/>
      <c r="BA191" s="99">
        <f>IF(OR(AY191="",AZ191=""),0,IFERROR(INDEX(#REF!,MATCH(AY191,#REF!,0))*AZ191,0))</f>
        <v>0</v>
      </c>
      <c r="BB191" s="100">
        <f t="shared" si="25"/>
        <v>0</v>
      </c>
      <c r="BC191" s="110" t="str">
        <f t="shared" si="26"/>
        <v/>
      </c>
      <c r="BD191" s="62"/>
    </row>
    <row r="192" spans="1:56" ht="19.5" customHeight="1" x14ac:dyDescent="0.45">
      <c r="A192" s="104" t="str">
        <f t="shared" si="27"/>
        <v/>
      </c>
      <c r="B192" s="5"/>
      <c r="C192" s="109"/>
      <c r="D192" s="107"/>
      <c r="E192" s="6"/>
      <c r="F192" s="85"/>
      <c r="G192" s="85"/>
      <c r="H192" s="104" t="str">
        <f t="shared" si="19"/>
        <v/>
      </c>
      <c r="I192" s="103" t="str">
        <f>IFERROR(INDEX(#REF!,MATCH(E192,#REF!,0)),"")</f>
        <v/>
      </c>
      <c r="J192" s="6"/>
      <c r="K192" s="103" t="str">
        <f t="shared" si="20"/>
        <v/>
      </c>
      <c r="L192" s="8"/>
      <c r="M192" s="102" t="str">
        <f t="shared" si="21"/>
        <v/>
      </c>
      <c r="N192" s="9"/>
      <c r="O192" s="103" t="str">
        <f t="shared" si="22"/>
        <v/>
      </c>
      <c r="P192" s="6"/>
      <c r="Q192" s="7"/>
      <c r="R192" s="10"/>
      <c r="S192" s="29" t="str">
        <f t="shared" ca="1" si="23"/>
        <v/>
      </c>
      <c r="T192" s="7"/>
      <c r="U192" s="74"/>
      <c r="V192" s="101">
        <f>IF(OR(T192="",U192=""),0,IFERROR(INDEX(#REF!,MATCH(T192,#REF!,0))*U192,0))</f>
        <v>0</v>
      </c>
      <c r="W192" s="7"/>
      <c r="X192" s="74"/>
      <c r="Y192" s="101">
        <f>IF(OR(W192="",X192=""),0,IFERROR(INDEX(#REF!,MATCH(W192,#REF!,0))*X192,0))</f>
        <v>0</v>
      </c>
      <c r="Z192" s="7"/>
      <c r="AA192" s="74"/>
      <c r="AB192" s="101">
        <f>IF(OR(Z192="",AA192=""),0,IFERROR(INDEX(#REF!,MATCH(Z192,#REF!,0))*AA192,0))</f>
        <v>0</v>
      </c>
      <c r="AC192" s="7"/>
      <c r="AD192" s="74"/>
      <c r="AE192" s="101">
        <f>IF(OR(AC192="",AD192=""),0,IFERROR(INDEX(#REF!,MATCH(AC192,#REF!,0))*AD192,0))</f>
        <v>0</v>
      </c>
      <c r="AF192" s="7"/>
      <c r="AG192" s="74"/>
      <c r="AH192" s="101">
        <f>IF(OR(AF192="",AG192=""),0,IFERROR(INDEX(#REF!,MATCH(AF192,#REF!,0))*AG192,0))</f>
        <v>0</v>
      </c>
      <c r="AI192" s="7"/>
      <c r="AJ192" s="74"/>
      <c r="AK192" s="101">
        <f>IF(OR(AI192="",AJ192=""),0,IFERROR(INDEX(#REF!,MATCH(AI192,#REF!,0))*AJ192,0))</f>
        <v>0</v>
      </c>
      <c r="AL192" s="101">
        <f t="shared" si="24"/>
        <v>0</v>
      </c>
      <c r="AM192" s="7"/>
      <c r="AN192" s="72"/>
      <c r="AO192" s="99">
        <f>IF(OR(AM192="",AN192=""),0,IFERROR(INDEX(#REF!,MATCH(AM192,#REF!,0))*AN192,0))</f>
        <v>0</v>
      </c>
      <c r="AP192" s="7"/>
      <c r="AQ192" s="74"/>
      <c r="AR192" s="99">
        <f>IF(OR(AP192="",AQ192=""),0,IFERROR(INDEX(#REF!,MATCH(AP192,#REF!,0))*AQ192,0))</f>
        <v>0</v>
      </c>
      <c r="AS192" s="7"/>
      <c r="AT192" s="74"/>
      <c r="AU192" s="99">
        <f>IF(OR(AS192="",AT192=""),0,IFERROR(INDEX(#REF!,MATCH(AS192,#REF!,0))*AT192,0))</f>
        <v>0</v>
      </c>
      <c r="AV192" s="7"/>
      <c r="AW192" s="74"/>
      <c r="AX192" s="99">
        <f>IF(OR(AV192="",AW192=""),0,IFERROR(INDEX(#REF!,MATCH(AV192,#REF!,0))*AW192,0))</f>
        <v>0</v>
      </c>
      <c r="AY192" s="7"/>
      <c r="AZ192" s="77"/>
      <c r="BA192" s="99">
        <f>IF(OR(AY192="",AZ192=""),0,IFERROR(INDEX(#REF!,MATCH(AY192,#REF!,0))*AZ192,0))</f>
        <v>0</v>
      </c>
      <c r="BB192" s="100">
        <f t="shared" si="25"/>
        <v>0</v>
      </c>
      <c r="BC192" s="110" t="str">
        <f t="shared" si="26"/>
        <v/>
      </c>
      <c r="BD192" s="62"/>
    </row>
    <row r="193" spans="1:56" ht="19.5" customHeight="1" x14ac:dyDescent="0.45">
      <c r="A193" s="104" t="str">
        <f t="shared" si="27"/>
        <v/>
      </c>
      <c r="B193" s="5"/>
      <c r="C193" s="109"/>
      <c r="D193" s="107"/>
      <c r="E193" s="6"/>
      <c r="F193" s="85"/>
      <c r="G193" s="85"/>
      <c r="H193" s="104" t="str">
        <f t="shared" si="19"/>
        <v/>
      </c>
      <c r="I193" s="103" t="str">
        <f>IFERROR(INDEX(#REF!,MATCH(E193,#REF!,0)),"")</f>
        <v/>
      </c>
      <c r="J193" s="6"/>
      <c r="K193" s="103" t="str">
        <f t="shared" si="20"/>
        <v/>
      </c>
      <c r="L193" s="8"/>
      <c r="M193" s="102" t="str">
        <f t="shared" si="21"/>
        <v/>
      </c>
      <c r="N193" s="9"/>
      <c r="O193" s="103" t="str">
        <f t="shared" si="22"/>
        <v/>
      </c>
      <c r="P193" s="6"/>
      <c r="Q193" s="7"/>
      <c r="R193" s="10"/>
      <c r="S193" s="29" t="str">
        <f t="shared" ca="1" si="23"/>
        <v/>
      </c>
      <c r="T193" s="7"/>
      <c r="U193" s="74"/>
      <c r="V193" s="101">
        <f>IF(OR(T193="",U193=""),0,IFERROR(INDEX(#REF!,MATCH(T193,#REF!,0))*U193,0))</f>
        <v>0</v>
      </c>
      <c r="W193" s="7"/>
      <c r="X193" s="74"/>
      <c r="Y193" s="101">
        <f>IF(OR(W193="",X193=""),0,IFERROR(INDEX(#REF!,MATCH(W193,#REF!,0))*X193,0))</f>
        <v>0</v>
      </c>
      <c r="Z193" s="7"/>
      <c r="AA193" s="74"/>
      <c r="AB193" s="101">
        <f>IF(OR(Z193="",AA193=""),0,IFERROR(INDEX(#REF!,MATCH(Z193,#REF!,0))*AA193,0))</f>
        <v>0</v>
      </c>
      <c r="AC193" s="7"/>
      <c r="AD193" s="74"/>
      <c r="AE193" s="101">
        <f>IF(OR(AC193="",AD193=""),0,IFERROR(INDEX(#REF!,MATCH(AC193,#REF!,0))*AD193,0))</f>
        <v>0</v>
      </c>
      <c r="AF193" s="7"/>
      <c r="AG193" s="74"/>
      <c r="AH193" s="101">
        <f>IF(OR(AF193="",AG193=""),0,IFERROR(INDEX(#REF!,MATCH(AF193,#REF!,0))*AG193,0))</f>
        <v>0</v>
      </c>
      <c r="AI193" s="7"/>
      <c r="AJ193" s="74"/>
      <c r="AK193" s="101">
        <f>IF(OR(AI193="",AJ193=""),0,IFERROR(INDEX(#REF!,MATCH(AI193,#REF!,0))*AJ193,0))</f>
        <v>0</v>
      </c>
      <c r="AL193" s="101">
        <f t="shared" si="24"/>
        <v>0</v>
      </c>
      <c r="AM193" s="7"/>
      <c r="AN193" s="72"/>
      <c r="AO193" s="99">
        <f>IF(OR(AM193="",AN193=""),0,IFERROR(INDEX(#REF!,MATCH(AM193,#REF!,0))*AN193,0))</f>
        <v>0</v>
      </c>
      <c r="AP193" s="7"/>
      <c r="AQ193" s="74"/>
      <c r="AR193" s="99">
        <f>IF(OR(AP193="",AQ193=""),0,IFERROR(INDEX(#REF!,MATCH(AP193,#REF!,0))*AQ193,0))</f>
        <v>0</v>
      </c>
      <c r="AS193" s="7"/>
      <c r="AT193" s="74"/>
      <c r="AU193" s="99">
        <f>IF(OR(AS193="",AT193=""),0,IFERROR(INDEX(#REF!,MATCH(AS193,#REF!,0))*AT193,0))</f>
        <v>0</v>
      </c>
      <c r="AV193" s="7"/>
      <c r="AW193" s="74"/>
      <c r="AX193" s="99">
        <f>IF(OR(AV193="",AW193=""),0,IFERROR(INDEX(#REF!,MATCH(AV193,#REF!,0))*AW193,0))</f>
        <v>0</v>
      </c>
      <c r="AY193" s="7"/>
      <c r="AZ193" s="77"/>
      <c r="BA193" s="99">
        <f>IF(OR(AY193="",AZ193=""),0,IFERROR(INDEX(#REF!,MATCH(AY193,#REF!,0))*AZ193,0))</f>
        <v>0</v>
      </c>
      <c r="BB193" s="100">
        <f t="shared" si="25"/>
        <v>0</v>
      </c>
      <c r="BC193" s="110" t="str">
        <f t="shared" si="26"/>
        <v/>
      </c>
      <c r="BD193" s="62"/>
    </row>
    <row r="194" spans="1:56" ht="19.5" customHeight="1" x14ac:dyDescent="0.45">
      <c r="A194" s="104" t="str">
        <f t="shared" si="27"/>
        <v/>
      </c>
      <c r="B194" s="5"/>
      <c r="C194" s="109"/>
      <c r="D194" s="107"/>
      <c r="E194" s="6"/>
      <c r="F194" s="85"/>
      <c r="G194" s="85"/>
      <c r="H194" s="104" t="str">
        <f t="shared" si="19"/>
        <v/>
      </c>
      <c r="I194" s="103" t="str">
        <f>IFERROR(INDEX(#REF!,MATCH(E194,#REF!,0)),"")</f>
        <v/>
      </c>
      <c r="J194" s="6"/>
      <c r="K194" s="103" t="str">
        <f t="shared" si="20"/>
        <v/>
      </c>
      <c r="L194" s="8"/>
      <c r="M194" s="102" t="str">
        <f t="shared" si="21"/>
        <v/>
      </c>
      <c r="N194" s="9"/>
      <c r="O194" s="103" t="str">
        <f t="shared" si="22"/>
        <v/>
      </c>
      <c r="P194" s="6"/>
      <c r="Q194" s="7"/>
      <c r="R194" s="10"/>
      <c r="S194" s="29" t="str">
        <f t="shared" ca="1" si="23"/>
        <v/>
      </c>
      <c r="T194" s="7"/>
      <c r="U194" s="74"/>
      <c r="V194" s="101">
        <f>IF(OR(T194="",U194=""),0,IFERROR(INDEX(#REF!,MATCH(T194,#REF!,0))*U194,0))</f>
        <v>0</v>
      </c>
      <c r="W194" s="7"/>
      <c r="X194" s="74"/>
      <c r="Y194" s="101">
        <f>IF(OR(W194="",X194=""),0,IFERROR(INDEX(#REF!,MATCH(W194,#REF!,0))*X194,0))</f>
        <v>0</v>
      </c>
      <c r="Z194" s="7"/>
      <c r="AA194" s="74"/>
      <c r="AB194" s="101">
        <f>IF(OR(Z194="",AA194=""),0,IFERROR(INDEX(#REF!,MATCH(Z194,#REF!,0))*AA194,0))</f>
        <v>0</v>
      </c>
      <c r="AC194" s="7"/>
      <c r="AD194" s="74"/>
      <c r="AE194" s="101">
        <f>IF(OR(AC194="",AD194=""),0,IFERROR(INDEX(#REF!,MATCH(AC194,#REF!,0))*AD194,0))</f>
        <v>0</v>
      </c>
      <c r="AF194" s="7"/>
      <c r="AG194" s="74"/>
      <c r="AH194" s="101">
        <f>IF(OR(AF194="",AG194=""),0,IFERROR(INDEX(#REF!,MATCH(AF194,#REF!,0))*AG194,0))</f>
        <v>0</v>
      </c>
      <c r="AI194" s="7"/>
      <c r="AJ194" s="74"/>
      <c r="AK194" s="101">
        <f>IF(OR(AI194="",AJ194=""),0,IFERROR(INDEX(#REF!,MATCH(AI194,#REF!,0))*AJ194,0))</f>
        <v>0</v>
      </c>
      <c r="AL194" s="101">
        <f t="shared" si="24"/>
        <v>0</v>
      </c>
      <c r="AM194" s="7"/>
      <c r="AN194" s="72"/>
      <c r="AO194" s="99">
        <f>IF(OR(AM194="",AN194=""),0,IFERROR(INDEX(#REF!,MATCH(AM194,#REF!,0))*AN194,0))</f>
        <v>0</v>
      </c>
      <c r="AP194" s="7"/>
      <c r="AQ194" s="74"/>
      <c r="AR194" s="99">
        <f>IF(OR(AP194="",AQ194=""),0,IFERROR(INDEX(#REF!,MATCH(AP194,#REF!,0))*AQ194,0))</f>
        <v>0</v>
      </c>
      <c r="AS194" s="7"/>
      <c r="AT194" s="74"/>
      <c r="AU194" s="99">
        <f>IF(OR(AS194="",AT194=""),0,IFERROR(INDEX(#REF!,MATCH(AS194,#REF!,0))*AT194,0))</f>
        <v>0</v>
      </c>
      <c r="AV194" s="7"/>
      <c r="AW194" s="74"/>
      <c r="AX194" s="99">
        <f>IF(OR(AV194="",AW194=""),0,IFERROR(INDEX(#REF!,MATCH(AV194,#REF!,0))*AW194,0))</f>
        <v>0</v>
      </c>
      <c r="AY194" s="7"/>
      <c r="AZ194" s="77"/>
      <c r="BA194" s="99">
        <f>IF(OR(AY194="",AZ194=""),0,IFERROR(INDEX(#REF!,MATCH(AY194,#REF!,0))*AZ194,0))</f>
        <v>0</v>
      </c>
      <c r="BB194" s="100">
        <f t="shared" si="25"/>
        <v>0</v>
      </c>
      <c r="BC194" s="110" t="str">
        <f t="shared" si="26"/>
        <v/>
      </c>
      <c r="BD194" s="62"/>
    </row>
    <row r="195" spans="1:56" ht="19.5" customHeight="1" x14ac:dyDescent="0.45">
      <c r="A195" s="104" t="str">
        <f t="shared" si="27"/>
        <v/>
      </c>
      <c r="B195" s="5"/>
      <c r="C195" s="109"/>
      <c r="D195" s="107"/>
      <c r="E195" s="6"/>
      <c r="F195" s="85"/>
      <c r="G195" s="85"/>
      <c r="H195" s="104" t="str">
        <f t="shared" si="19"/>
        <v/>
      </c>
      <c r="I195" s="103" t="str">
        <f>IFERROR(INDEX(#REF!,MATCH(E195,#REF!,0)),"")</f>
        <v/>
      </c>
      <c r="J195" s="6"/>
      <c r="K195" s="103" t="str">
        <f t="shared" si="20"/>
        <v/>
      </c>
      <c r="L195" s="8"/>
      <c r="M195" s="102" t="str">
        <f t="shared" si="21"/>
        <v/>
      </c>
      <c r="N195" s="9"/>
      <c r="O195" s="103" t="str">
        <f t="shared" si="22"/>
        <v/>
      </c>
      <c r="P195" s="6"/>
      <c r="Q195" s="7"/>
      <c r="R195" s="10"/>
      <c r="S195" s="29" t="str">
        <f t="shared" ca="1" si="23"/>
        <v/>
      </c>
      <c r="T195" s="7"/>
      <c r="U195" s="74"/>
      <c r="V195" s="101">
        <f>IF(OR(T195="",U195=""),0,IFERROR(INDEX(#REF!,MATCH(T195,#REF!,0))*U195,0))</f>
        <v>0</v>
      </c>
      <c r="W195" s="7"/>
      <c r="X195" s="74"/>
      <c r="Y195" s="101">
        <f>IF(OR(W195="",X195=""),0,IFERROR(INDEX(#REF!,MATCH(W195,#REF!,0))*X195,0))</f>
        <v>0</v>
      </c>
      <c r="Z195" s="7"/>
      <c r="AA195" s="74"/>
      <c r="AB195" s="101">
        <f>IF(OR(Z195="",AA195=""),0,IFERROR(INDEX(#REF!,MATCH(Z195,#REF!,0))*AA195,0))</f>
        <v>0</v>
      </c>
      <c r="AC195" s="7"/>
      <c r="AD195" s="74"/>
      <c r="AE195" s="101">
        <f>IF(OR(AC195="",AD195=""),0,IFERROR(INDEX(#REF!,MATCH(AC195,#REF!,0))*AD195,0))</f>
        <v>0</v>
      </c>
      <c r="AF195" s="7"/>
      <c r="AG195" s="74"/>
      <c r="AH195" s="101">
        <f>IF(OR(AF195="",AG195=""),0,IFERROR(INDEX(#REF!,MATCH(AF195,#REF!,0))*AG195,0))</f>
        <v>0</v>
      </c>
      <c r="AI195" s="7"/>
      <c r="AJ195" s="74"/>
      <c r="AK195" s="101">
        <f>IF(OR(AI195="",AJ195=""),0,IFERROR(INDEX(#REF!,MATCH(AI195,#REF!,0))*AJ195,0))</f>
        <v>0</v>
      </c>
      <c r="AL195" s="101">
        <f t="shared" si="24"/>
        <v>0</v>
      </c>
      <c r="AM195" s="7"/>
      <c r="AN195" s="72"/>
      <c r="AO195" s="99">
        <f>IF(OR(AM195="",AN195=""),0,IFERROR(INDEX(#REF!,MATCH(AM195,#REF!,0))*AN195,0))</f>
        <v>0</v>
      </c>
      <c r="AP195" s="7"/>
      <c r="AQ195" s="74"/>
      <c r="AR195" s="99">
        <f>IF(OR(AP195="",AQ195=""),0,IFERROR(INDEX(#REF!,MATCH(AP195,#REF!,0))*AQ195,0))</f>
        <v>0</v>
      </c>
      <c r="AS195" s="7"/>
      <c r="AT195" s="74"/>
      <c r="AU195" s="99">
        <f>IF(OR(AS195="",AT195=""),0,IFERROR(INDEX(#REF!,MATCH(AS195,#REF!,0))*AT195,0))</f>
        <v>0</v>
      </c>
      <c r="AV195" s="7"/>
      <c r="AW195" s="74"/>
      <c r="AX195" s="99">
        <f>IF(OR(AV195="",AW195=""),0,IFERROR(INDEX(#REF!,MATCH(AV195,#REF!,0))*AW195,0))</f>
        <v>0</v>
      </c>
      <c r="AY195" s="7"/>
      <c r="AZ195" s="77"/>
      <c r="BA195" s="99">
        <f>IF(OR(AY195="",AZ195=""),0,IFERROR(INDEX(#REF!,MATCH(AY195,#REF!,0))*AZ195,0))</f>
        <v>0</v>
      </c>
      <c r="BB195" s="100">
        <f t="shared" si="25"/>
        <v>0</v>
      </c>
      <c r="BC195" s="110" t="str">
        <f t="shared" si="26"/>
        <v/>
      </c>
      <c r="BD195" s="62"/>
    </row>
    <row r="196" spans="1:56" ht="19.5" customHeight="1" x14ac:dyDescent="0.45">
      <c r="A196" s="104" t="str">
        <f t="shared" si="27"/>
        <v/>
      </c>
      <c r="B196" s="5"/>
      <c r="C196" s="109"/>
      <c r="D196" s="107"/>
      <c r="E196" s="6"/>
      <c r="F196" s="85"/>
      <c r="G196" s="85"/>
      <c r="H196" s="104" t="str">
        <f t="shared" si="19"/>
        <v/>
      </c>
      <c r="I196" s="103" t="str">
        <f>IFERROR(INDEX(#REF!,MATCH(E196,#REF!,0)),"")</f>
        <v/>
      </c>
      <c r="J196" s="6"/>
      <c r="K196" s="103" t="str">
        <f t="shared" si="20"/>
        <v/>
      </c>
      <c r="L196" s="8"/>
      <c r="M196" s="102" t="str">
        <f t="shared" si="21"/>
        <v/>
      </c>
      <c r="N196" s="9"/>
      <c r="O196" s="103" t="str">
        <f t="shared" si="22"/>
        <v/>
      </c>
      <c r="P196" s="6"/>
      <c r="Q196" s="7"/>
      <c r="R196" s="10"/>
      <c r="S196" s="29" t="str">
        <f t="shared" ca="1" si="23"/>
        <v/>
      </c>
      <c r="T196" s="7"/>
      <c r="U196" s="74"/>
      <c r="V196" s="101">
        <f>IF(OR(T196="",U196=""),0,IFERROR(INDEX(#REF!,MATCH(T196,#REF!,0))*U196,0))</f>
        <v>0</v>
      </c>
      <c r="W196" s="7"/>
      <c r="X196" s="74"/>
      <c r="Y196" s="101">
        <f>IF(OR(W196="",X196=""),0,IFERROR(INDEX(#REF!,MATCH(W196,#REF!,0))*X196,0))</f>
        <v>0</v>
      </c>
      <c r="Z196" s="7"/>
      <c r="AA196" s="74"/>
      <c r="AB196" s="101">
        <f>IF(OR(Z196="",AA196=""),0,IFERROR(INDEX(#REF!,MATCH(Z196,#REF!,0))*AA196,0))</f>
        <v>0</v>
      </c>
      <c r="AC196" s="7"/>
      <c r="AD196" s="74"/>
      <c r="AE196" s="101">
        <f>IF(OR(AC196="",AD196=""),0,IFERROR(INDEX(#REF!,MATCH(AC196,#REF!,0))*AD196,0))</f>
        <v>0</v>
      </c>
      <c r="AF196" s="7"/>
      <c r="AG196" s="74"/>
      <c r="AH196" s="101">
        <f>IF(OR(AF196="",AG196=""),0,IFERROR(INDEX(#REF!,MATCH(AF196,#REF!,0))*AG196,0))</f>
        <v>0</v>
      </c>
      <c r="AI196" s="7"/>
      <c r="AJ196" s="74"/>
      <c r="AK196" s="101">
        <f>IF(OR(AI196="",AJ196=""),0,IFERROR(INDEX(#REF!,MATCH(AI196,#REF!,0))*AJ196,0))</f>
        <v>0</v>
      </c>
      <c r="AL196" s="101">
        <f t="shared" si="24"/>
        <v>0</v>
      </c>
      <c r="AM196" s="7"/>
      <c r="AN196" s="72"/>
      <c r="AO196" s="99">
        <f>IF(OR(AM196="",AN196=""),0,IFERROR(INDEX(#REF!,MATCH(AM196,#REF!,0))*AN196,0))</f>
        <v>0</v>
      </c>
      <c r="AP196" s="7"/>
      <c r="AQ196" s="74"/>
      <c r="AR196" s="99">
        <f>IF(OR(AP196="",AQ196=""),0,IFERROR(INDEX(#REF!,MATCH(AP196,#REF!,0))*AQ196,0))</f>
        <v>0</v>
      </c>
      <c r="AS196" s="7"/>
      <c r="AT196" s="74"/>
      <c r="AU196" s="99">
        <f>IF(OR(AS196="",AT196=""),0,IFERROR(INDEX(#REF!,MATCH(AS196,#REF!,0))*AT196,0))</f>
        <v>0</v>
      </c>
      <c r="AV196" s="7"/>
      <c r="AW196" s="74"/>
      <c r="AX196" s="99">
        <f>IF(OR(AV196="",AW196=""),0,IFERROR(INDEX(#REF!,MATCH(AV196,#REF!,0))*AW196,0))</f>
        <v>0</v>
      </c>
      <c r="AY196" s="7"/>
      <c r="AZ196" s="77"/>
      <c r="BA196" s="99">
        <f>IF(OR(AY196="",AZ196=""),0,IFERROR(INDEX(#REF!,MATCH(AY196,#REF!,0))*AZ196,0))</f>
        <v>0</v>
      </c>
      <c r="BB196" s="100">
        <f t="shared" si="25"/>
        <v>0</v>
      </c>
      <c r="BC196" s="110" t="str">
        <f t="shared" si="26"/>
        <v/>
      </c>
      <c r="BD196" s="62"/>
    </row>
    <row r="197" spans="1:56" ht="19.5" customHeight="1" x14ac:dyDescent="0.45">
      <c r="A197" s="104" t="str">
        <f t="shared" si="27"/>
        <v/>
      </c>
      <c r="B197" s="5"/>
      <c r="C197" s="109"/>
      <c r="D197" s="107"/>
      <c r="E197" s="6"/>
      <c r="F197" s="85"/>
      <c r="G197" s="85"/>
      <c r="H197" s="104" t="str">
        <f t="shared" ref="H197:H260" si="28">IF(AND(F197&lt;&gt;"",G197&lt;&gt;""),G197-F197,"")</f>
        <v/>
      </c>
      <c r="I197" s="103" t="str">
        <f>IFERROR(INDEX(#REF!,MATCH(E197,#REF!,0)),"")</f>
        <v/>
      </c>
      <c r="J197" s="6"/>
      <c r="K197" s="103" t="str">
        <f t="shared" ref="K197:K260" si="29">IF(AND(ISNUMBER(H197),ISNUMBER(I197)),H197*I197,"")</f>
        <v/>
      </c>
      <c r="L197" s="8"/>
      <c r="M197" s="102" t="str">
        <f t="shared" ref="M197:M260" si="30">IF(ISNUMBER(K197),K197*(1-L197),"")</f>
        <v/>
      </c>
      <c r="N197" s="9"/>
      <c r="O197" s="103" t="str">
        <f t="shared" ref="O197:O260" si="31">IF(ISNUMBER(M197),M197-N197,"")</f>
        <v/>
      </c>
      <c r="P197" s="6"/>
      <c r="Q197" s="7"/>
      <c r="R197" s="10"/>
      <c r="S197" s="29" t="str">
        <f t="shared" ca="1" si="23"/>
        <v/>
      </c>
      <c r="T197" s="7"/>
      <c r="U197" s="74"/>
      <c r="V197" s="101">
        <f>IF(OR(T197="",U197=""),0,IFERROR(INDEX(#REF!,MATCH(T197,#REF!,0))*U197,0))</f>
        <v>0</v>
      </c>
      <c r="W197" s="7"/>
      <c r="X197" s="74"/>
      <c r="Y197" s="101">
        <f>IF(OR(W197="",X197=""),0,IFERROR(INDEX(#REF!,MATCH(W197,#REF!,0))*X197,0))</f>
        <v>0</v>
      </c>
      <c r="Z197" s="7"/>
      <c r="AA197" s="74"/>
      <c r="AB197" s="101">
        <f>IF(OR(Z197="",AA197=""),0,IFERROR(INDEX(#REF!,MATCH(Z197,#REF!,0))*AA197,0))</f>
        <v>0</v>
      </c>
      <c r="AC197" s="7"/>
      <c r="AD197" s="74"/>
      <c r="AE197" s="101">
        <f>IF(OR(AC197="",AD197=""),0,IFERROR(INDEX(#REF!,MATCH(AC197,#REF!,0))*AD197,0))</f>
        <v>0</v>
      </c>
      <c r="AF197" s="7"/>
      <c r="AG197" s="74"/>
      <c r="AH197" s="101">
        <f>IF(OR(AF197="",AG197=""),0,IFERROR(INDEX(#REF!,MATCH(AF197,#REF!,0))*AG197,0))</f>
        <v>0</v>
      </c>
      <c r="AI197" s="7"/>
      <c r="AJ197" s="74"/>
      <c r="AK197" s="101">
        <f>IF(OR(AI197="",AJ197=""),0,IFERROR(INDEX(#REF!,MATCH(AI197,#REF!,0))*AJ197,0))</f>
        <v>0</v>
      </c>
      <c r="AL197" s="101">
        <f t="shared" si="24"/>
        <v>0</v>
      </c>
      <c r="AM197" s="7"/>
      <c r="AN197" s="72"/>
      <c r="AO197" s="99">
        <f>IF(OR(AM197="",AN197=""),0,IFERROR(INDEX(#REF!,MATCH(AM197,#REF!,0))*AN197,0))</f>
        <v>0</v>
      </c>
      <c r="AP197" s="7"/>
      <c r="AQ197" s="74"/>
      <c r="AR197" s="99">
        <f>IF(OR(AP197="",AQ197=""),0,IFERROR(INDEX(#REF!,MATCH(AP197,#REF!,0))*AQ197,0))</f>
        <v>0</v>
      </c>
      <c r="AS197" s="7"/>
      <c r="AT197" s="74"/>
      <c r="AU197" s="99">
        <f>IF(OR(AS197="",AT197=""),0,IFERROR(INDEX(#REF!,MATCH(AS197,#REF!,0))*AT197,0))</f>
        <v>0</v>
      </c>
      <c r="AV197" s="7"/>
      <c r="AW197" s="74"/>
      <c r="AX197" s="99">
        <f>IF(OR(AV197="",AW197=""),0,IFERROR(INDEX(#REF!,MATCH(AV197,#REF!,0))*AW197,0))</f>
        <v>0</v>
      </c>
      <c r="AY197" s="7"/>
      <c r="AZ197" s="77"/>
      <c r="BA197" s="99">
        <f>IF(OR(AY197="",AZ197=""),0,IFERROR(INDEX(#REF!,MATCH(AY197,#REF!,0))*AZ197,0))</f>
        <v>0</v>
      </c>
      <c r="BB197" s="100">
        <f t="shared" si="25"/>
        <v>0</v>
      </c>
      <c r="BC197" s="110" t="str">
        <f t="shared" si="26"/>
        <v/>
      </c>
      <c r="BD197" s="62"/>
    </row>
    <row r="198" spans="1:56" ht="19.5" customHeight="1" x14ac:dyDescent="0.45">
      <c r="A198" s="104" t="str">
        <f t="shared" si="27"/>
        <v/>
      </c>
      <c r="B198" s="5"/>
      <c r="C198" s="109"/>
      <c r="D198" s="107"/>
      <c r="E198" s="6"/>
      <c r="F198" s="85"/>
      <c r="G198" s="85"/>
      <c r="H198" s="104" t="str">
        <f t="shared" si="28"/>
        <v/>
      </c>
      <c r="I198" s="103" t="str">
        <f>IFERROR(INDEX(#REF!,MATCH(E198,#REF!,0)),"")</f>
        <v/>
      </c>
      <c r="J198" s="6"/>
      <c r="K198" s="103" t="str">
        <f t="shared" si="29"/>
        <v/>
      </c>
      <c r="L198" s="8"/>
      <c r="M198" s="102" t="str">
        <f t="shared" si="30"/>
        <v/>
      </c>
      <c r="N198" s="9"/>
      <c r="O198" s="103" t="str">
        <f t="shared" si="31"/>
        <v/>
      </c>
      <c r="P198" s="6"/>
      <c r="Q198" s="7"/>
      <c r="R198" s="10"/>
      <c r="S198" s="29" t="str">
        <f t="shared" ref="S198:S261" ca="1" si="32">IF(AND(B198&lt;&gt;"",F198&lt;&gt;"",F198&gt;=TODAY(),F198&lt;=TODAY()+180,P198&lt;&gt;"Cancelled"),F198+ROW()/100000,"")</f>
        <v/>
      </c>
      <c r="T198" s="7"/>
      <c r="U198" s="74"/>
      <c r="V198" s="101">
        <f>IF(OR(T198="",U198=""),0,IFERROR(INDEX(#REF!,MATCH(T198,#REF!,0))*U198,0))</f>
        <v>0</v>
      </c>
      <c r="W198" s="7"/>
      <c r="X198" s="74"/>
      <c r="Y198" s="101">
        <f>IF(OR(W198="",X198=""),0,IFERROR(INDEX(#REF!,MATCH(W198,#REF!,0))*X198,0))</f>
        <v>0</v>
      </c>
      <c r="Z198" s="7"/>
      <c r="AA198" s="74"/>
      <c r="AB198" s="101">
        <f>IF(OR(Z198="",AA198=""),0,IFERROR(INDEX(#REF!,MATCH(Z198,#REF!,0))*AA198,0))</f>
        <v>0</v>
      </c>
      <c r="AC198" s="7"/>
      <c r="AD198" s="74"/>
      <c r="AE198" s="101">
        <f>IF(OR(AC198="",AD198=""),0,IFERROR(INDEX(#REF!,MATCH(AC198,#REF!,0))*AD198,0))</f>
        <v>0</v>
      </c>
      <c r="AF198" s="7"/>
      <c r="AG198" s="74"/>
      <c r="AH198" s="101">
        <f>IF(OR(AF198="",AG198=""),0,IFERROR(INDEX(#REF!,MATCH(AF198,#REF!,0))*AG198,0))</f>
        <v>0</v>
      </c>
      <c r="AI198" s="7"/>
      <c r="AJ198" s="74"/>
      <c r="AK198" s="101">
        <f>IF(OR(AI198="",AJ198=""),0,IFERROR(INDEX(#REF!,MATCH(AI198,#REF!,0))*AJ198,0))</f>
        <v>0</v>
      </c>
      <c r="AL198" s="101">
        <f t="shared" ref="AL198:AL261" si="33">SUM(V198+Y198+AB198+AE198+AH198+AK198)</f>
        <v>0</v>
      </c>
      <c r="AM198" s="7"/>
      <c r="AN198" s="72"/>
      <c r="AO198" s="99">
        <f>IF(OR(AM198="",AN198=""),0,IFERROR(INDEX(#REF!,MATCH(AM198,#REF!,0))*AN198,0))</f>
        <v>0</v>
      </c>
      <c r="AP198" s="7"/>
      <c r="AQ198" s="74"/>
      <c r="AR198" s="99">
        <f>IF(OR(AP198="",AQ198=""),0,IFERROR(INDEX(#REF!,MATCH(AP198,#REF!,0))*AQ198,0))</f>
        <v>0</v>
      </c>
      <c r="AS198" s="7"/>
      <c r="AT198" s="74"/>
      <c r="AU198" s="99">
        <f>IF(OR(AS198="",AT198=""),0,IFERROR(INDEX(#REF!,MATCH(AS198,#REF!,0))*AT198,0))</f>
        <v>0</v>
      </c>
      <c r="AV198" s="7"/>
      <c r="AW198" s="74"/>
      <c r="AX198" s="99">
        <f>IF(OR(AV198="",AW198=""),0,IFERROR(INDEX(#REF!,MATCH(AV198,#REF!,0))*AW198,0))</f>
        <v>0</v>
      </c>
      <c r="AY198" s="7"/>
      <c r="AZ198" s="77"/>
      <c r="BA198" s="99">
        <f>IF(OR(AY198="",AZ198=""),0,IFERROR(INDEX(#REF!,MATCH(AY198,#REF!,0))*AZ198,0))</f>
        <v>0</v>
      </c>
      <c r="BB198" s="100">
        <f t="shared" ref="BB198:BB261" si="34">SUM(AO198+AR198+AU198+AX198+BA198)</f>
        <v>0</v>
      </c>
      <c r="BC198" s="110" t="str">
        <f t="shared" ref="BC198:BC261" si="35">IF(ISNUMBER(M198),M198+AL198+BB198,"")</f>
        <v/>
      </c>
      <c r="BD198" s="62"/>
    </row>
    <row r="199" spans="1:56" ht="19.5" customHeight="1" x14ac:dyDescent="0.45">
      <c r="A199" s="104" t="str">
        <f t="shared" si="27"/>
        <v/>
      </c>
      <c r="B199" s="5"/>
      <c r="C199" s="109"/>
      <c r="D199" s="107"/>
      <c r="E199" s="6"/>
      <c r="F199" s="85"/>
      <c r="G199" s="85"/>
      <c r="H199" s="104" t="str">
        <f t="shared" si="28"/>
        <v/>
      </c>
      <c r="I199" s="103" t="str">
        <f>IFERROR(INDEX(#REF!,MATCH(E199,#REF!,0)),"")</f>
        <v/>
      </c>
      <c r="J199" s="6"/>
      <c r="K199" s="103" t="str">
        <f t="shared" si="29"/>
        <v/>
      </c>
      <c r="L199" s="8"/>
      <c r="M199" s="102" t="str">
        <f t="shared" si="30"/>
        <v/>
      </c>
      <c r="N199" s="9"/>
      <c r="O199" s="103" t="str">
        <f t="shared" si="31"/>
        <v/>
      </c>
      <c r="P199" s="6"/>
      <c r="Q199" s="7"/>
      <c r="R199" s="10"/>
      <c r="S199" s="29" t="str">
        <f t="shared" ca="1" si="32"/>
        <v/>
      </c>
      <c r="T199" s="7"/>
      <c r="U199" s="74"/>
      <c r="V199" s="101">
        <f>IF(OR(T199="",U199=""),0,IFERROR(INDEX(#REF!,MATCH(T199,#REF!,0))*U199,0))</f>
        <v>0</v>
      </c>
      <c r="W199" s="7"/>
      <c r="X199" s="74"/>
      <c r="Y199" s="101">
        <f>IF(OR(W199="",X199=""),0,IFERROR(INDEX(#REF!,MATCH(W199,#REF!,0))*X199,0))</f>
        <v>0</v>
      </c>
      <c r="Z199" s="7"/>
      <c r="AA199" s="74"/>
      <c r="AB199" s="101">
        <f>IF(OR(Z199="",AA199=""),0,IFERROR(INDEX(#REF!,MATCH(Z199,#REF!,0))*AA199,0))</f>
        <v>0</v>
      </c>
      <c r="AC199" s="7"/>
      <c r="AD199" s="74"/>
      <c r="AE199" s="101">
        <f>IF(OR(AC199="",AD199=""),0,IFERROR(INDEX(#REF!,MATCH(AC199,#REF!,0))*AD199,0))</f>
        <v>0</v>
      </c>
      <c r="AF199" s="7"/>
      <c r="AG199" s="74"/>
      <c r="AH199" s="101">
        <f>IF(OR(AF199="",AG199=""),0,IFERROR(INDEX(#REF!,MATCH(AF199,#REF!,0))*AG199,0))</f>
        <v>0</v>
      </c>
      <c r="AI199" s="7"/>
      <c r="AJ199" s="74"/>
      <c r="AK199" s="101">
        <f>IF(OR(AI199="",AJ199=""),0,IFERROR(INDEX(#REF!,MATCH(AI199,#REF!,0))*AJ199,0))</f>
        <v>0</v>
      </c>
      <c r="AL199" s="101">
        <f t="shared" si="33"/>
        <v>0</v>
      </c>
      <c r="AM199" s="7"/>
      <c r="AN199" s="72"/>
      <c r="AO199" s="99">
        <f>IF(OR(AM199="",AN199=""),0,IFERROR(INDEX(#REF!,MATCH(AM199,#REF!,0))*AN199,0))</f>
        <v>0</v>
      </c>
      <c r="AP199" s="7"/>
      <c r="AQ199" s="74"/>
      <c r="AR199" s="99">
        <f>IF(OR(AP199="",AQ199=""),0,IFERROR(INDEX(#REF!,MATCH(AP199,#REF!,0))*AQ199,0))</f>
        <v>0</v>
      </c>
      <c r="AS199" s="7"/>
      <c r="AT199" s="74"/>
      <c r="AU199" s="99">
        <f>IF(OR(AS199="",AT199=""),0,IFERROR(INDEX(#REF!,MATCH(AS199,#REF!,0))*AT199,0))</f>
        <v>0</v>
      </c>
      <c r="AV199" s="7"/>
      <c r="AW199" s="74"/>
      <c r="AX199" s="99">
        <f>IF(OR(AV199="",AW199=""),0,IFERROR(INDEX(#REF!,MATCH(AV199,#REF!,0))*AW199,0))</f>
        <v>0</v>
      </c>
      <c r="AY199" s="7"/>
      <c r="AZ199" s="77"/>
      <c r="BA199" s="99">
        <f>IF(OR(AY199="",AZ199=""),0,IFERROR(INDEX(#REF!,MATCH(AY199,#REF!,0))*AZ199,0))</f>
        <v>0</v>
      </c>
      <c r="BB199" s="100">
        <f t="shared" si="34"/>
        <v>0</v>
      </c>
      <c r="BC199" s="110" t="str">
        <f t="shared" si="35"/>
        <v/>
      </c>
      <c r="BD199" s="62"/>
    </row>
    <row r="200" spans="1:56" ht="19.5" customHeight="1" x14ac:dyDescent="0.45">
      <c r="A200" s="104" t="str">
        <f t="shared" si="27"/>
        <v/>
      </c>
      <c r="B200" s="5"/>
      <c r="C200" s="109"/>
      <c r="D200" s="107"/>
      <c r="E200" s="6"/>
      <c r="F200" s="85"/>
      <c r="G200" s="85"/>
      <c r="H200" s="104" t="str">
        <f t="shared" si="28"/>
        <v/>
      </c>
      <c r="I200" s="103" t="str">
        <f>IFERROR(INDEX(#REF!,MATCH(E200,#REF!,0)),"")</f>
        <v/>
      </c>
      <c r="J200" s="6"/>
      <c r="K200" s="103" t="str">
        <f t="shared" si="29"/>
        <v/>
      </c>
      <c r="L200" s="8"/>
      <c r="M200" s="102" t="str">
        <f t="shared" si="30"/>
        <v/>
      </c>
      <c r="N200" s="9"/>
      <c r="O200" s="103" t="str">
        <f t="shared" si="31"/>
        <v/>
      </c>
      <c r="P200" s="6"/>
      <c r="Q200" s="7"/>
      <c r="R200" s="10"/>
      <c r="S200" s="29" t="str">
        <f t="shared" ca="1" si="32"/>
        <v/>
      </c>
      <c r="T200" s="7"/>
      <c r="U200" s="74"/>
      <c r="V200" s="101">
        <f>IF(OR(T200="",U200=""),0,IFERROR(INDEX(#REF!,MATCH(T200,#REF!,0))*U200,0))</f>
        <v>0</v>
      </c>
      <c r="W200" s="7"/>
      <c r="X200" s="74"/>
      <c r="Y200" s="101">
        <f>IF(OR(W200="",X200=""),0,IFERROR(INDEX(#REF!,MATCH(W200,#REF!,0))*X200,0))</f>
        <v>0</v>
      </c>
      <c r="Z200" s="7"/>
      <c r="AA200" s="74"/>
      <c r="AB200" s="101">
        <f>IF(OR(Z200="",AA200=""),0,IFERROR(INDEX(#REF!,MATCH(Z200,#REF!,0))*AA200,0))</f>
        <v>0</v>
      </c>
      <c r="AC200" s="7"/>
      <c r="AD200" s="74"/>
      <c r="AE200" s="101">
        <f>IF(OR(AC200="",AD200=""),0,IFERROR(INDEX(#REF!,MATCH(AC200,#REF!,0))*AD200,0))</f>
        <v>0</v>
      </c>
      <c r="AF200" s="7"/>
      <c r="AG200" s="74"/>
      <c r="AH200" s="101">
        <f>IF(OR(AF200="",AG200=""),0,IFERROR(INDEX(#REF!,MATCH(AF200,#REF!,0))*AG200,0))</f>
        <v>0</v>
      </c>
      <c r="AI200" s="7"/>
      <c r="AJ200" s="74"/>
      <c r="AK200" s="101">
        <f>IF(OR(AI200="",AJ200=""),0,IFERROR(INDEX(#REF!,MATCH(AI200,#REF!,0))*AJ200,0))</f>
        <v>0</v>
      </c>
      <c r="AL200" s="101">
        <f t="shared" si="33"/>
        <v>0</v>
      </c>
      <c r="AM200" s="7"/>
      <c r="AN200" s="72"/>
      <c r="AO200" s="99">
        <f>IF(OR(AM200="",AN200=""),0,IFERROR(INDEX(#REF!,MATCH(AM200,#REF!,0))*AN200,0))</f>
        <v>0</v>
      </c>
      <c r="AP200" s="7"/>
      <c r="AQ200" s="74"/>
      <c r="AR200" s="99">
        <f>IF(OR(AP200="",AQ200=""),0,IFERROR(INDEX(#REF!,MATCH(AP200,#REF!,0))*AQ200,0))</f>
        <v>0</v>
      </c>
      <c r="AS200" s="7"/>
      <c r="AT200" s="74"/>
      <c r="AU200" s="99">
        <f>IF(OR(AS200="",AT200=""),0,IFERROR(INDEX(#REF!,MATCH(AS200,#REF!,0))*AT200,0))</f>
        <v>0</v>
      </c>
      <c r="AV200" s="7"/>
      <c r="AW200" s="74"/>
      <c r="AX200" s="99">
        <f>IF(OR(AV200="",AW200=""),0,IFERROR(INDEX(#REF!,MATCH(AV200,#REF!,0))*AW200,0))</f>
        <v>0</v>
      </c>
      <c r="AY200" s="7"/>
      <c r="AZ200" s="77"/>
      <c r="BA200" s="99">
        <f>IF(OR(AY200="",AZ200=""),0,IFERROR(INDEX(#REF!,MATCH(AY200,#REF!,0))*AZ200,0))</f>
        <v>0</v>
      </c>
      <c r="BB200" s="100">
        <f t="shared" si="34"/>
        <v>0</v>
      </c>
      <c r="BC200" s="110" t="str">
        <f t="shared" si="35"/>
        <v/>
      </c>
      <c r="BD200" s="62"/>
    </row>
    <row r="201" spans="1:56" ht="19.5" customHeight="1" x14ac:dyDescent="0.45">
      <c r="A201" s="104" t="str">
        <f t="shared" si="27"/>
        <v/>
      </c>
      <c r="B201" s="5"/>
      <c r="C201" s="109"/>
      <c r="D201" s="107"/>
      <c r="E201" s="6"/>
      <c r="F201" s="85"/>
      <c r="G201" s="85"/>
      <c r="H201" s="104" t="str">
        <f t="shared" si="28"/>
        <v/>
      </c>
      <c r="I201" s="103" t="str">
        <f>IFERROR(INDEX(#REF!,MATCH(E201,#REF!,0)),"")</f>
        <v/>
      </c>
      <c r="J201" s="6"/>
      <c r="K201" s="103" t="str">
        <f t="shared" si="29"/>
        <v/>
      </c>
      <c r="L201" s="8"/>
      <c r="M201" s="102" t="str">
        <f t="shared" si="30"/>
        <v/>
      </c>
      <c r="N201" s="9"/>
      <c r="O201" s="103" t="str">
        <f t="shared" si="31"/>
        <v/>
      </c>
      <c r="P201" s="6"/>
      <c r="Q201" s="7"/>
      <c r="R201" s="10"/>
      <c r="S201" s="29" t="str">
        <f t="shared" ca="1" si="32"/>
        <v/>
      </c>
      <c r="T201" s="7"/>
      <c r="U201" s="74"/>
      <c r="V201" s="101">
        <f>IF(OR(T201="",U201=""),0,IFERROR(INDEX(#REF!,MATCH(T201,#REF!,0))*U201,0))</f>
        <v>0</v>
      </c>
      <c r="W201" s="7"/>
      <c r="X201" s="74"/>
      <c r="Y201" s="101">
        <f>IF(OR(W201="",X201=""),0,IFERROR(INDEX(#REF!,MATCH(W201,#REF!,0))*X201,0))</f>
        <v>0</v>
      </c>
      <c r="Z201" s="7"/>
      <c r="AA201" s="74"/>
      <c r="AB201" s="101">
        <f>IF(OR(Z201="",AA201=""),0,IFERROR(INDEX(#REF!,MATCH(Z201,#REF!,0))*AA201,0))</f>
        <v>0</v>
      </c>
      <c r="AC201" s="7"/>
      <c r="AD201" s="74"/>
      <c r="AE201" s="101">
        <f>IF(OR(AC201="",AD201=""),0,IFERROR(INDEX(#REF!,MATCH(AC201,#REF!,0))*AD201,0))</f>
        <v>0</v>
      </c>
      <c r="AF201" s="7"/>
      <c r="AG201" s="74"/>
      <c r="AH201" s="101">
        <f>IF(OR(AF201="",AG201=""),0,IFERROR(INDEX(#REF!,MATCH(AF201,#REF!,0))*AG201,0))</f>
        <v>0</v>
      </c>
      <c r="AI201" s="7"/>
      <c r="AJ201" s="74"/>
      <c r="AK201" s="101">
        <f>IF(OR(AI201="",AJ201=""),0,IFERROR(INDEX(#REF!,MATCH(AI201,#REF!,0))*AJ201,0))</f>
        <v>0</v>
      </c>
      <c r="AL201" s="101">
        <f t="shared" si="33"/>
        <v>0</v>
      </c>
      <c r="AM201" s="7"/>
      <c r="AN201" s="72"/>
      <c r="AO201" s="99">
        <f>IF(OR(AM201="",AN201=""),0,IFERROR(INDEX(#REF!,MATCH(AM201,#REF!,0))*AN201,0))</f>
        <v>0</v>
      </c>
      <c r="AP201" s="7"/>
      <c r="AQ201" s="74"/>
      <c r="AR201" s="99">
        <f>IF(OR(AP201="",AQ201=""),0,IFERROR(INDEX(#REF!,MATCH(AP201,#REF!,0))*AQ201,0))</f>
        <v>0</v>
      </c>
      <c r="AS201" s="7"/>
      <c r="AT201" s="74"/>
      <c r="AU201" s="99">
        <f>IF(OR(AS201="",AT201=""),0,IFERROR(INDEX(#REF!,MATCH(AS201,#REF!,0))*AT201,0))</f>
        <v>0</v>
      </c>
      <c r="AV201" s="7"/>
      <c r="AW201" s="74"/>
      <c r="AX201" s="99">
        <f>IF(OR(AV201="",AW201=""),0,IFERROR(INDEX(#REF!,MATCH(AV201,#REF!,0))*AW201,0))</f>
        <v>0</v>
      </c>
      <c r="AY201" s="7"/>
      <c r="AZ201" s="77"/>
      <c r="BA201" s="99">
        <f>IF(OR(AY201="",AZ201=""),0,IFERROR(INDEX(#REF!,MATCH(AY201,#REF!,0))*AZ201,0))</f>
        <v>0</v>
      </c>
      <c r="BB201" s="100">
        <f t="shared" si="34"/>
        <v>0</v>
      </c>
      <c r="BC201" s="110" t="str">
        <f t="shared" si="35"/>
        <v/>
      </c>
      <c r="BD201" s="62"/>
    </row>
    <row r="202" spans="1:56" ht="19.5" customHeight="1" x14ac:dyDescent="0.45">
      <c r="A202" s="104" t="str">
        <f t="shared" si="27"/>
        <v/>
      </c>
      <c r="B202" s="5"/>
      <c r="C202" s="109"/>
      <c r="D202" s="107"/>
      <c r="E202" s="6"/>
      <c r="F202" s="85"/>
      <c r="G202" s="85"/>
      <c r="H202" s="104" t="str">
        <f t="shared" si="28"/>
        <v/>
      </c>
      <c r="I202" s="103" t="str">
        <f>IFERROR(INDEX(#REF!,MATCH(E202,#REF!,0)),"")</f>
        <v/>
      </c>
      <c r="J202" s="6"/>
      <c r="K202" s="103" t="str">
        <f t="shared" si="29"/>
        <v/>
      </c>
      <c r="L202" s="8"/>
      <c r="M202" s="102" t="str">
        <f t="shared" si="30"/>
        <v/>
      </c>
      <c r="N202" s="9"/>
      <c r="O202" s="103" t="str">
        <f t="shared" si="31"/>
        <v/>
      </c>
      <c r="P202" s="6"/>
      <c r="Q202" s="7"/>
      <c r="R202" s="10"/>
      <c r="S202" s="29" t="str">
        <f t="shared" ca="1" si="32"/>
        <v/>
      </c>
      <c r="T202" s="7"/>
      <c r="U202" s="74"/>
      <c r="V202" s="101">
        <f>IF(OR(T202="",U202=""),0,IFERROR(INDEX(#REF!,MATCH(T202,#REF!,0))*U202,0))</f>
        <v>0</v>
      </c>
      <c r="W202" s="7"/>
      <c r="X202" s="74"/>
      <c r="Y202" s="101">
        <f>IF(OR(W202="",X202=""),0,IFERROR(INDEX(#REF!,MATCH(W202,#REF!,0))*X202,0))</f>
        <v>0</v>
      </c>
      <c r="Z202" s="7"/>
      <c r="AA202" s="74"/>
      <c r="AB202" s="101">
        <f>IF(OR(Z202="",AA202=""),0,IFERROR(INDEX(#REF!,MATCH(Z202,#REF!,0))*AA202,0))</f>
        <v>0</v>
      </c>
      <c r="AC202" s="7"/>
      <c r="AD202" s="74"/>
      <c r="AE202" s="101">
        <f>IF(OR(AC202="",AD202=""),0,IFERROR(INDEX(#REF!,MATCH(AC202,#REF!,0))*AD202,0))</f>
        <v>0</v>
      </c>
      <c r="AF202" s="7"/>
      <c r="AG202" s="74"/>
      <c r="AH202" s="101">
        <f>IF(OR(AF202="",AG202=""),0,IFERROR(INDEX(#REF!,MATCH(AF202,#REF!,0))*AG202,0))</f>
        <v>0</v>
      </c>
      <c r="AI202" s="7"/>
      <c r="AJ202" s="74"/>
      <c r="AK202" s="101">
        <f>IF(OR(AI202="",AJ202=""),0,IFERROR(INDEX(#REF!,MATCH(AI202,#REF!,0))*AJ202,0))</f>
        <v>0</v>
      </c>
      <c r="AL202" s="101">
        <f t="shared" si="33"/>
        <v>0</v>
      </c>
      <c r="AM202" s="7"/>
      <c r="AN202" s="72"/>
      <c r="AO202" s="99">
        <f>IF(OR(AM202="",AN202=""),0,IFERROR(INDEX(#REF!,MATCH(AM202,#REF!,0))*AN202,0))</f>
        <v>0</v>
      </c>
      <c r="AP202" s="7"/>
      <c r="AQ202" s="74"/>
      <c r="AR202" s="99">
        <f>IF(OR(AP202="",AQ202=""),0,IFERROR(INDEX(#REF!,MATCH(AP202,#REF!,0))*AQ202,0))</f>
        <v>0</v>
      </c>
      <c r="AS202" s="7"/>
      <c r="AT202" s="74"/>
      <c r="AU202" s="99">
        <f>IF(OR(AS202="",AT202=""),0,IFERROR(INDEX(#REF!,MATCH(AS202,#REF!,0))*AT202,0))</f>
        <v>0</v>
      </c>
      <c r="AV202" s="7"/>
      <c r="AW202" s="74"/>
      <c r="AX202" s="99">
        <f>IF(OR(AV202="",AW202=""),0,IFERROR(INDEX(#REF!,MATCH(AV202,#REF!,0))*AW202,0))</f>
        <v>0</v>
      </c>
      <c r="AY202" s="7"/>
      <c r="AZ202" s="77"/>
      <c r="BA202" s="99">
        <f>IF(OR(AY202="",AZ202=""),0,IFERROR(INDEX(#REF!,MATCH(AY202,#REF!,0))*AZ202,0))</f>
        <v>0</v>
      </c>
      <c r="BB202" s="100">
        <f t="shared" si="34"/>
        <v>0</v>
      </c>
      <c r="BC202" s="110" t="str">
        <f t="shared" si="35"/>
        <v/>
      </c>
      <c r="BD202" s="62"/>
    </row>
    <row r="203" spans="1:56" ht="19.5" customHeight="1" x14ac:dyDescent="0.45">
      <c r="A203" s="104" t="str">
        <f t="shared" si="27"/>
        <v/>
      </c>
      <c r="B203" s="5"/>
      <c r="C203" s="109"/>
      <c r="D203" s="107"/>
      <c r="E203" s="6"/>
      <c r="F203" s="85"/>
      <c r="G203" s="85"/>
      <c r="H203" s="104" t="str">
        <f t="shared" si="28"/>
        <v/>
      </c>
      <c r="I203" s="103" t="str">
        <f>IFERROR(INDEX(#REF!,MATCH(E203,#REF!,0)),"")</f>
        <v/>
      </c>
      <c r="J203" s="6"/>
      <c r="K203" s="103" t="str">
        <f t="shared" si="29"/>
        <v/>
      </c>
      <c r="L203" s="8"/>
      <c r="M203" s="102" t="str">
        <f t="shared" si="30"/>
        <v/>
      </c>
      <c r="N203" s="9"/>
      <c r="O203" s="103" t="str">
        <f t="shared" si="31"/>
        <v/>
      </c>
      <c r="P203" s="6"/>
      <c r="Q203" s="7"/>
      <c r="R203" s="10"/>
      <c r="S203" s="29" t="str">
        <f t="shared" ca="1" si="32"/>
        <v/>
      </c>
      <c r="T203" s="7"/>
      <c r="U203" s="74"/>
      <c r="V203" s="101">
        <f>IF(OR(T203="",U203=""),0,IFERROR(INDEX(#REF!,MATCH(T203,#REF!,0))*U203,0))</f>
        <v>0</v>
      </c>
      <c r="W203" s="7"/>
      <c r="X203" s="74"/>
      <c r="Y203" s="101">
        <f>IF(OR(W203="",X203=""),0,IFERROR(INDEX(#REF!,MATCH(W203,#REF!,0))*X203,0))</f>
        <v>0</v>
      </c>
      <c r="Z203" s="7"/>
      <c r="AA203" s="74"/>
      <c r="AB203" s="101">
        <f>IF(OR(Z203="",AA203=""),0,IFERROR(INDEX(#REF!,MATCH(Z203,#REF!,0))*AA203,0))</f>
        <v>0</v>
      </c>
      <c r="AC203" s="7"/>
      <c r="AD203" s="74"/>
      <c r="AE203" s="101">
        <f>IF(OR(AC203="",AD203=""),0,IFERROR(INDEX(#REF!,MATCH(AC203,#REF!,0))*AD203,0))</f>
        <v>0</v>
      </c>
      <c r="AF203" s="7"/>
      <c r="AG203" s="74"/>
      <c r="AH203" s="101">
        <f>IF(OR(AF203="",AG203=""),0,IFERROR(INDEX(#REF!,MATCH(AF203,#REF!,0))*AG203,0))</f>
        <v>0</v>
      </c>
      <c r="AI203" s="7"/>
      <c r="AJ203" s="74"/>
      <c r="AK203" s="101">
        <f>IF(OR(AI203="",AJ203=""),0,IFERROR(INDEX(#REF!,MATCH(AI203,#REF!,0))*AJ203,0))</f>
        <v>0</v>
      </c>
      <c r="AL203" s="101">
        <f t="shared" si="33"/>
        <v>0</v>
      </c>
      <c r="AM203" s="7"/>
      <c r="AN203" s="72"/>
      <c r="AO203" s="99">
        <f>IF(OR(AM203="",AN203=""),0,IFERROR(INDEX(#REF!,MATCH(AM203,#REF!,0))*AN203,0))</f>
        <v>0</v>
      </c>
      <c r="AP203" s="7"/>
      <c r="AQ203" s="74"/>
      <c r="AR203" s="99">
        <f>IF(OR(AP203="",AQ203=""),0,IFERROR(INDEX(#REF!,MATCH(AP203,#REF!,0))*AQ203,0))</f>
        <v>0</v>
      </c>
      <c r="AS203" s="7"/>
      <c r="AT203" s="74"/>
      <c r="AU203" s="99">
        <f>IF(OR(AS203="",AT203=""),0,IFERROR(INDEX(#REF!,MATCH(AS203,#REF!,0))*AT203,0))</f>
        <v>0</v>
      </c>
      <c r="AV203" s="7"/>
      <c r="AW203" s="74"/>
      <c r="AX203" s="99">
        <f>IF(OR(AV203="",AW203=""),0,IFERROR(INDEX(#REF!,MATCH(AV203,#REF!,0))*AW203,0))</f>
        <v>0</v>
      </c>
      <c r="AY203" s="7"/>
      <c r="AZ203" s="77"/>
      <c r="BA203" s="99">
        <f>IF(OR(AY203="",AZ203=""),0,IFERROR(INDEX(#REF!,MATCH(AY203,#REF!,0))*AZ203,0))</f>
        <v>0</v>
      </c>
      <c r="BB203" s="100">
        <f t="shared" si="34"/>
        <v>0</v>
      </c>
      <c r="BC203" s="110" t="str">
        <f t="shared" si="35"/>
        <v/>
      </c>
      <c r="BD203" s="62"/>
    </row>
    <row r="204" spans="1:56" ht="19.5" customHeight="1" x14ac:dyDescent="0.45">
      <c r="A204" s="104" t="str">
        <f t="shared" si="27"/>
        <v/>
      </c>
      <c r="B204" s="5"/>
      <c r="C204" s="109"/>
      <c r="D204" s="107"/>
      <c r="E204" s="6"/>
      <c r="F204" s="85"/>
      <c r="G204" s="85"/>
      <c r="H204" s="104" t="str">
        <f t="shared" si="28"/>
        <v/>
      </c>
      <c r="I204" s="103" t="str">
        <f>IFERROR(INDEX(#REF!,MATCH(E204,#REF!,0)),"")</f>
        <v/>
      </c>
      <c r="J204" s="6"/>
      <c r="K204" s="103" t="str">
        <f t="shared" si="29"/>
        <v/>
      </c>
      <c r="L204" s="8"/>
      <c r="M204" s="102" t="str">
        <f t="shared" si="30"/>
        <v/>
      </c>
      <c r="N204" s="9"/>
      <c r="O204" s="103" t="str">
        <f t="shared" si="31"/>
        <v/>
      </c>
      <c r="P204" s="6"/>
      <c r="Q204" s="7"/>
      <c r="R204" s="10"/>
      <c r="S204" s="29" t="str">
        <f t="shared" ca="1" si="32"/>
        <v/>
      </c>
      <c r="T204" s="7"/>
      <c r="U204" s="74"/>
      <c r="V204" s="101">
        <f>IF(OR(T204="",U204=""),0,IFERROR(INDEX(#REF!,MATCH(T204,#REF!,0))*U204,0))</f>
        <v>0</v>
      </c>
      <c r="W204" s="7"/>
      <c r="X204" s="74"/>
      <c r="Y204" s="101">
        <f>IF(OR(W204="",X204=""),0,IFERROR(INDEX(#REF!,MATCH(W204,#REF!,0))*X204,0))</f>
        <v>0</v>
      </c>
      <c r="Z204" s="7"/>
      <c r="AA204" s="74"/>
      <c r="AB204" s="101">
        <f>IF(OR(Z204="",AA204=""),0,IFERROR(INDEX(#REF!,MATCH(Z204,#REF!,0))*AA204,0))</f>
        <v>0</v>
      </c>
      <c r="AC204" s="7"/>
      <c r="AD204" s="74"/>
      <c r="AE204" s="101">
        <f>IF(OR(AC204="",AD204=""),0,IFERROR(INDEX(#REF!,MATCH(AC204,#REF!,0))*AD204,0))</f>
        <v>0</v>
      </c>
      <c r="AF204" s="7"/>
      <c r="AG204" s="74"/>
      <c r="AH204" s="101">
        <f>IF(OR(AF204="",AG204=""),0,IFERROR(INDEX(#REF!,MATCH(AF204,#REF!,0))*AG204,0))</f>
        <v>0</v>
      </c>
      <c r="AI204" s="7"/>
      <c r="AJ204" s="74"/>
      <c r="AK204" s="101">
        <f>IF(OR(AI204="",AJ204=""),0,IFERROR(INDEX(#REF!,MATCH(AI204,#REF!,0))*AJ204,0))</f>
        <v>0</v>
      </c>
      <c r="AL204" s="101">
        <f t="shared" si="33"/>
        <v>0</v>
      </c>
      <c r="AM204" s="7"/>
      <c r="AN204" s="72"/>
      <c r="AO204" s="99">
        <f>IF(OR(AM204="",AN204=""),0,IFERROR(INDEX(#REF!,MATCH(AM204,#REF!,0))*AN204,0))</f>
        <v>0</v>
      </c>
      <c r="AP204" s="7"/>
      <c r="AQ204" s="74"/>
      <c r="AR204" s="99">
        <f>IF(OR(AP204="",AQ204=""),0,IFERROR(INDEX(#REF!,MATCH(AP204,#REF!,0))*AQ204,0))</f>
        <v>0</v>
      </c>
      <c r="AS204" s="7"/>
      <c r="AT204" s="74"/>
      <c r="AU204" s="99">
        <f>IF(OR(AS204="",AT204=""),0,IFERROR(INDEX(#REF!,MATCH(AS204,#REF!,0))*AT204,0))</f>
        <v>0</v>
      </c>
      <c r="AV204" s="7"/>
      <c r="AW204" s="74"/>
      <c r="AX204" s="99">
        <f>IF(OR(AV204="",AW204=""),0,IFERROR(INDEX(#REF!,MATCH(AV204,#REF!,0))*AW204,0))</f>
        <v>0</v>
      </c>
      <c r="AY204" s="7"/>
      <c r="AZ204" s="77"/>
      <c r="BA204" s="99">
        <f>IF(OR(AY204="",AZ204=""),0,IFERROR(INDEX(#REF!,MATCH(AY204,#REF!,0))*AZ204,0))</f>
        <v>0</v>
      </c>
      <c r="BB204" s="100">
        <f t="shared" si="34"/>
        <v>0</v>
      </c>
      <c r="BC204" s="110" t="str">
        <f t="shared" si="35"/>
        <v/>
      </c>
      <c r="BD204" s="62"/>
    </row>
    <row r="205" spans="1:56" ht="19.5" customHeight="1" x14ac:dyDescent="0.45">
      <c r="A205" s="104" t="str">
        <f t="shared" si="27"/>
        <v/>
      </c>
      <c r="B205" s="5"/>
      <c r="C205" s="109"/>
      <c r="D205" s="107"/>
      <c r="E205" s="6"/>
      <c r="F205" s="85"/>
      <c r="G205" s="85"/>
      <c r="H205" s="104" t="str">
        <f t="shared" si="28"/>
        <v/>
      </c>
      <c r="I205" s="103" t="str">
        <f>IFERROR(INDEX(#REF!,MATCH(E205,#REF!,0)),"")</f>
        <v/>
      </c>
      <c r="J205" s="6"/>
      <c r="K205" s="103" t="str">
        <f t="shared" si="29"/>
        <v/>
      </c>
      <c r="L205" s="8"/>
      <c r="M205" s="102" t="str">
        <f t="shared" si="30"/>
        <v/>
      </c>
      <c r="N205" s="9"/>
      <c r="O205" s="103" t="str">
        <f t="shared" si="31"/>
        <v/>
      </c>
      <c r="P205" s="6"/>
      <c r="Q205" s="7"/>
      <c r="R205" s="10"/>
      <c r="S205" s="29" t="str">
        <f t="shared" ca="1" si="32"/>
        <v/>
      </c>
      <c r="T205" s="7"/>
      <c r="U205" s="74"/>
      <c r="V205" s="101">
        <f>IF(OR(T205="",U205=""),0,IFERROR(INDEX(#REF!,MATCH(T205,#REF!,0))*U205,0))</f>
        <v>0</v>
      </c>
      <c r="W205" s="7"/>
      <c r="X205" s="74"/>
      <c r="Y205" s="101">
        <f>IF(OR(W205="",X205=""),0,IFERROR(INDEX(#REF!,MATCH(W205,#REF!,0))*X205,0))</f>
        <v>0</v>
      </c>
      <c r="Z205" s="7"/>
      <c r="AA205" s="74"/>
      <c r="AB205" s="101">
        <f>IF(OR(Z205="",AA205=""),0,IFERROR(INDEX(#REF!,MATCH(Z205,#REF!,0))*AA205,0))</f>
        <v>0</v>
      </c>
      <c r="AC205" s="7"/>
      <c r="AD205" s="74"/>
      <c r="AE205" s="101">
        <f>IF(OR(AC205="",AD205=""),0,IFERROR(INDEX(#REF!,MATCH(AC205,#REF!,0))*AD205,0))</f>
        <v>0</v>
      </c>
      <c r="AF205" s="7"/>
      <c r="AG205" s="74"/>
      <c r="AH205" s="101">
        <f>IF(OR(AF205="",AG205=""),0,IFERROR(INDEX(#REF!,MATCH(AF205,#REF!,0))*AG205,0))</f>
        <v>0</v>
      </c>
      <c r="AI205" s="7"/>
      <c r="AJ205" s="74"/>
      <c r="AK205" s="101">
        <f>IF(OR(AI205="",AJ205=""),0,IFERROR(INDEX(#REF!,MATCH(AI205,#REF!,0))*AJ205,0))</f>
        <v>0</v>
      </c>
      <c r="AL205" s="101">
        <f t="shared" si="33"/>
        <v>0</v>
      </c>
      <c r="AM205" s="7"/>
      <c r="AN205" s="72"/>
      <c r="AO205" s="99">
        <f>IF(OR(AM205="",AN205=""),0,IFERROR(INDEX(#REF!,MATCH(AM205,#REF!,0))*AN205,0))</f>
        <v>0</v>
      </c>
      <c r="AP205" s="7"/>
      <c r="AQ205" s="74"/>
      <c r="AR205" s="99">
        <f>IF(OR(AP205="",AQ205=""),0,IFERROR(INDEX(#REF!,MATCH(AP205,#REF!,0))*AQ205,0))</f>
        <v>0</v>
      </c>
      <c r="AS205" s="7"/>
      <c r="AT205" s="74"/>
      <c r="AU205" s="99">
        <f>IF(OR(AS205="",AT205=""),0,IFERROR(INDEX(#REF!,MATCH(AS205,#REF!,0))*AT205,0))</f>
        <v>0</v>
      </c>
      <c r="AV205" s="7"/>
      <c r="AW205" s="74"/>
      <c r="AX205" s="99">
        <f>IF(OR(AV205="",AW205=""),0,IFERROR(INDEX(#REF!,MATCH(AV205,#REF!,0))*AW205,0))</f>
        <v>0</v>
      </c>
      <c r="AY205" s="7"/>
      <c r="AZ205" s="77"/>
      <c r="BA205" s="99">
        <f>IF(OR(AY205="",AZ205=""),0,IFERROR(INDEX(#REF!,MATCH(AY205,#REF!,0))*AZ205,0))</f>
        <v>0</v>
      </c>
      <c r="BB205" s="100">
        <f t="shared" si="34"/>
        <v>0</v>
      </c>
      <c r="BC205" s="110" t="str">
        <f t="shared" si="35"/>
        <v/>
      </c>
      <c r="BD205" s="62"/>
    </row>
    <row r="206" spans="1:56" ht="19.5" customHeight="1" x14ac:dyDescent="0.45">
      <c r="A206" s="104" t="str">
        <f t="shared" si="27"/>
        <v/>
      </c>
      <c r="B206" s="5"/>
      <c r="C206" s="109"/>
      <c r="D206" s="107"/>
      <c r="E206" s="6"/>
      <c r="F206" s="85"/>
      <c r="G206" s="85"/>
      <c r="H206" s="104" t="str">
        <f t="shared" si="28"/>
        <v/>
      </c>
      <c r="I206" s="103" t="str">
        <f>IFERROR(INDEX(#REF!,MATCH(E206,#REF!,0)),"")</f>
        <v/>
      </c>
      <c r="J206" s="6"/>
      <c r="K206" s="103" t="str">
        <f t="shared" si="29"/>
        <v/>
      </c>
      <c r="L206" s="8"/>
      <c r="M206" s="102" t="str">
        <f t="shared" si="30"/>
        <v/>
      </c>
      <c r="N206" s="9"/>
      <c r="O206" s="103" t="str">
        <f t="shared" si="31"/>
        <v/>
      </c>
      <c r="P206" s="6"/>
      <c r="Q206" s="7"/>
      <c r="R206" s="10"/>
      <c r="S206" s="29" t="str">
        <f t="shared" ca="1" si="32"/>
        <v/>
      </c>
      <c r="T206" s="7"/>
      <c r="U206" s="74"/>
      <c r="V206" s="101">
        <f>IF(OR(T206="",U206=""),0,IFERROR(INDEX(#REF!,MATCH(T206,#REF!,0))*U206,0))</f>
        <v>0</v>
      </c>
      <c r="W206" s="7"/>
      <c r="X206" s="74"/>
      <c r="Y206" s="101">
        <f>IF(OR(W206="",X206=""),0,IFERROR(INDEX(#REF!,MATCH(W206,#REF!,0))*X206,0))</f>
        <v>0</v>
      </c>
      <c r="Z206" s="7"/>
      <c r="AA206" s="74"/>
      <c r="AB206" s="101">
        <f>IF(OR(Z206="",AA206=""),0,IFERROR(INDEX(#REF!,MATCH(Z206,#REF!,0))*AA206,0))</f>
        <v>0</v>
      </c>
      <c r="AC206" s="7"/>
      <c r="AD206" s="74"/>
      <c r="AE206" s="101">
        <f>IF(OR(AC206="",AD206=""),0,IFERROR(INDEX(#REF!,MATCH(AC206,#REF!,0))*AD206,0))</f>
        <v>0</v>
      </c>
      <c r="AF206" s="7"/>
      <c r="AG206" s="74"/>
      <c r="AH206" s="101">
        <f>IF(OR(AF206="",AG206=""),0,IFERROR(INDEX(#REF!,MATCH(AF206,#REF!,0))*AG206,0))</f>
        <v>0</v>
      </c>
      <c r="AI206" s="7"/>
      <c r="AJ206" s="74"/>
      <c r="AK206" s="101">
        <f>IF(OR(AI206="",AJ206=""),0,IFERROR(INDEX(#REF!,MATCH(AI206,#REF!,0))*AJ206,0))</f>
        <v>0</v>
      </c>
      <c r="AL206" s="101">
        <f t="shared" si="33"/>
        <v>0</v>
      </c>
      <c r="AM206" s="7"/>
      <c r="AN206" s="72"/>
      <c r="AO206" s="99">
        <f>IF(OR(AM206="",AN206=""),0,IFERROR(INDEX(#REF!,MATCH(AM206,#REF!,0))*AN206,0))</f>
        <v>0</v>
      </c>
      <c r="AP206" s="7"/>
      <c r="AQ206" s="74"/>
      <c r="AR206" s="99">
        <f>IF(OR(AP206="",AQ206=""),0,IFERROR(INDEX(#REF!,MATCH(AP206,#REF!,0))*AQ206,0))</f>
        <v>0</v>
      </c>
      <c r="AS206" s="7"/>
      <c r="AT206" s="74"/>
      <c r="AU206" s="99">
        <f>IF(OR(AS206="",AT206=""),0,IFERROR(INDEX(#REF!,MATCH(AS206,#REF!,0))*AT206,0))</f>
        <v>0</v>
      </c>
      <c r="AV206" s="7"/>
      <c r="AW206" s="74"/>
      <c r="AX206" s="99">
        <f>IF(OR(AV206="",AW206=""),0,IFERROR(INDEX(#REF!,MATCH(AV206,#REF!,0))*AW206,0))</f>
        <v>0</v>
      </c>
      <c r="AY206" s="7"/>
      <c r="AZ206" s="77"/>
      <c r="BA206" s="99">
        <f>IF(OR(AY206="",AZ206=""),0,IFERROR(INDEX(#REF!,MATCH(AY206,#REF!,0))*AZ206,0))</f>
        <v>0</v>
      </c>
      <c r="BB206" s="100">
        <f t="shared" si="34"/>
        <v>0</v>
      </c>
      <c r="BC206" s="110" t="str">
        <f t="shared" si="35"/>
        <v/>
      </c>
      <c r="BD206" s="62"/>
    </row>
    <row r="207" spans="1:56" ht="19.5" customHeight="1" x14ac:dyDescent="0.45">
      <c r="A207" s="104" t="str">
        <f t="shared" si="27"/>
        <v/>
      </c>
      <c r="B207" s="5"/>
      <c r="C207" s="109"/>
      <c r="D207" s="107"/>
      <c r="E207" s="6"/>
      <c r="F207" s="85"/>
      <c r="G207" s="85"/>
      <c r="H207" s="104" t="str">
        <f t="shared" si="28"/>
        <v/>
      </c>
      <c r="I207" s="103" t="str">
        <f>IFERROR(INDEX(#REF!,MATCH(E207,#REF!,0)),"")</f>
        <v/>
      </c>
      <c r="J207" s="6"/>
      <c r="K207" s="103" t="str">
        <f t="shared" si="29"/>
        <v/>
      </c>
      <c r="L207" s="8"/>
      <c r="M207" s="102" t="str">
        <f t="shared" si="30"/>
        <v/>
      </c>
      <c r="N207" s="9"/>
      <c r="O207" s="103" t="str">
        <f t="shared" si="31"/>
        <v/>
      </c>
      <c r="P207" s="6"/>
      <c r="Q207" s="7"/>
      <c r="R207" s="10"/>
      <c r="S207" s="29" t="str">
        <f t="shared" ca="1" si="32"/>
        <v/>
      </c>
      <c r="T207" s="7"/>
      <c r="U207" s="74"/>
      <c r="V207" s="101">
        <f>IF(OR(T207="",U207=""),0,IFERROR(INDEX(#REF!,MATCH(T207,#REF!,0))*U207,0))</f>
        <v>0</v>
      </c>
      <c r="W207" s="7"/>
      <c r="X207" s="74"/>
      <c r="Y207" s="101">
        <f>IF(OR(W207="",X207=""),0,IFERROR(INDEX(#REF!,MATCH(W207,#REF!,0))*X207,0))</f>
        <v>0</v>
      </c>
      <c r="Z207" s="7"/>
      <c r="AA207" s="74"/>
      <c r="AB207" s="101">
        <f>IF(OR(Z207="",AA207=""),0,IFERROR(INDEX(#REF!,MATCH(Z207,#REF!,0))*AA207,0))</f>
        <v>0</v>
      </c>
      <c r="AC207" s="7"/>
      <c r="AD207" s="74"/>
      <c r="AE207" s="101">
        <f>IF(OR(AC207="",AD207=""),0,IFERROR(INDEX(#REF!,MATCH(AC207,#REF!,0))*AD207,0))</f>
        <v>0</v>
      </c>
      <c r="AF207" s="7"/>
      <c r="AG207" s="74"/>
      <c r="AH207" s="101">
        <f>IF(OR(AF207="",AG207=""),0,IFERROR(INDEX(#REF!,MATCH(AF207,#REF!,0))*AG207,0))</f>
        <v>0</v>
      </c>
      <c r="AI207" s="7"/>
      <c r="AJ207" s="74"/>
      <c r="AK207" s="101">
        <f>IF(OR(AI207="",AJ207=""),0,IFERROR(INDEX(#REF!,MATCH(AI207,#REF!,0))*AJ207,0))</f>
        <v>0</v>
      </c>
      <c r="AL207" s="101">
        <f t="shared" si="33"/>
        <v>0</v>
      </c>
      <c r="AM207" s="7"/>
      <c r="AN207" s="72"/>
      <c r="AO207" s="99">
        <f>IF(OR(AM207="",AN207=""),0,IFERROR(INDEX(#REF!,MATCH(AM207,#REF!,0))*AN207,0))</f>
        <v>0</v>
      </c>
      <c r="AP207" s="7"/>
      <c r="AQ207" s="74"/>
      <c r="AR207" s="99">
        <f>IF(OR(AP207="",AQ207=""),0,IFERROR(INDEX(#REF!,MATCH(AP207,#REF!,0))*AQ207,0))</f>
        <v>0</v>
      </c>
      <c r="AS207" s="7"/>
      <c r="AT207" s="74"/>
      <c r="AU207" s="99">
        <f>IF(OR(AS207="",AT207=""),0,IFERROR(INDEX(#REF!,MATCH(AS207,#REF!,0))*AT207,0))</f>
        <v>0</v>
      </c>
      <c r="AV207" s="7"/>
      <c r="AW207" s="74"/>
      <c r="AX207" s="99">
        <f>IF(OR(AV207="",AW207=""),0,IFERROR(INDEX(#REF!,MATCH(AV207,#REF!,0))*AW207,0))</f>
        <v>0</v>
      </c>
      <c r="AY207" s="7"/>
      <c r="AZ207" s="77"/>
      <c r="BA207" s="99">
        <f>IF(OR(AY207="",AZ207=""),0,IFERROR(INDEX(#REF!,MATCH(AY207,#REF!,0))*AZ207,0))</f>
        <v>0</v>
      </c>
      <c r="BB207" s="100">
        <f t="shared" si="34"/>
        <v>0</v>
      </c>
      <c r="BC207" s="110" t="str">
        <f t="shared" si="35"/>
        <v/>
      </c>
      <c r="BD207" s="62"/>
    </row>
    <row r="208" spans="1:56" ht="19.5" customHeight="1" x14ac:dyDescent="0.45">
      <c r="A208" s="104" t="str">
        <f t="shared" si="27"/>
        <v/>
      </c>
      <c r="B208" s="5"/>
      <c r="C208" s="109"/>
      <c r="D208" s="107"/>
      <c r="E208" s="6"/>
      <c r="F208" s="85"/>
      <c r="G208" s="85"/>
      <c r="H208" s="104" t="str">
        <f t="shared" si="28"/>
        <v/>
      </c>
      <c r="I208" s="103" t="str">
        <f>IFERROR(INDEX(#REF!,MATCH(E208,#REF!,0)),"")</f>
        <v/>
      </c>
      <c r="J208" s="6"/>
      <c r="K208" s="103" t="str">
        <f t="shared" si="29"/>
        <v/>
      </c>
      <c r="L208" s="8"/>
      <c r="M208" s="102" t="str">
        <f t="shared" si="30"/>
        <v/>
      </c>
      <c r="N208" s="9"/>
      <c r="O208" s="103" t="str">
        <f t="shared" si="31"/>
        <v/>
      </c>
      <c r="P208" s="6"/>
      <c r="Q208" s="7"/>
      <c r="R208" s="10"/>
      <c r="S208" s="29" t="str">
        <f t="shared" ca="1" si="32"/>
        <v/>
      </c>
      <c r="T208" s="7"/>
      <c r="U208" s="74"/>
      <c r="V208" s="101">
        <f>IF(OR(T208="",U208=""),0,IFERROR(INDEX(#REF!,MATCH(T208,#REF!,0))*U208,0))</f>
        <v>0</v>
      </c>
      <c r="W208" s="7"/>
      <c r="X208" s="74"/>
      <c r="Y208" s="101">
        <f>IF(OR(W208="",X208=""),0,IFERROR(INDEX(#REF!,MATCH(W208,#REF!,0))*X208,0))</f>
        <v>0</v>
      </c>
      <c r="Z208" s="7"/>
      <c r="AA208" s="74"/>
      <c r="AB208" s="101">
        <f>IF(OR(Z208="",AA208=""),0,IFERROR(INDEX(#REF!,MATCH(Z208,#REF!,0))*AA208,0))</f>
        <v>0</v>
      </c>
      <c r="AC208" s="7"/>
      <c r="AD208" s="74"/>
      <c r="AE208" s="101">
        <f>IF(OR(AC208="",AD208=""),0,IFERROR(INDEX(#REF!,MATCH(AC208,#REF!,0))*AD208,0))</f>
        <v>0</v>
      </c>
      <c r="AF208" s="7"/>
      <c r="AG208" s="74"/>
      <c r="AH208" s="101">
        <f>IF(OR(AF208="",AG208=""),0,IFERROR(INDEX(#REF!,MATCH(AF208,#REF!,0))*AG208,0))</f>
        <v>0</v>
      </c>
      <c r="AI208" s="7"/>
      <c r="AJ208" s="74"/>
      <c r="AK208" s="101">
        <f>IF(OR(AI208="",AJ208=""),0,IFERROR(INDEX(#REF!,MATCH(AI208,#REF!,0))*AJ208,0))</f>
        <v>0</v>
      </c>
      <c r="AL208" s="101">
        <f t="shared" si="33"/>
        <v>0</v>
      </c>
      <c r="AM208" s="7"/>
      <c r="AN208" s="72"/>
      <c r="AO208" s="99">
        <f>IF(OR(AM208="",AN208=""),0,IFERROR(INDEX(#REF!,MATCH(AM208,#REF!,0))*AN208,0))</f>
        <v>0</v>
      </c>
      <c r="AP208" s="7"/>
      <c r="AQ208" s="74"/>
      <c r="AR208" s="99">
        <f>IF(OR(AP208="",AQ208=""),0,IFERROR(INDEX(#REF!,MATCH(AP208,#REF!,0))*AQ208,0))</f>
        <v>0</v>
      </c>
      <c r="AS208" s="7"/>
      <c r="AT208" s="74"/>
      <c r="AU208" s="99">
        <f>IF(OR(AS208="",AT208=""),0,IFERROR(INDEX(#REF!,MATCH(AS208,#REF!,0))*AT208,0))</f>
        <v>0</v>
      </c>
      <c r="AV208" s="7"/>
      <c r="AW208" s="74"/>
      <c r="AX208" s="99">
        <f>IF(OR(AV208="",AW208=""),0,IFERROR(INDEX(#REF!,MATCH(AV208,#REF!,0))*AW208,0))</f>
        <v>0</v>
      </c>
      <c r="AY208" s="7"/>
      <c r="AZ208" s="77"/>
      <c r="BA208" s="99">
        <f>IF(OR(AY208="",AZ208=""),0,IFERROR(INDEX(#REF!,MATCH(AY208,#REF!,0))*AZ208,0))</f>
        <v>0</v>
      </c>
      <c r="BB208" s="100">
        <f t="shared" si="34"/>
        <v>0</v>
      </c>
      <c r="BC208" s="110" t="str">
        <f t="shared" si="35"/>
        <v/>
      </c>
      <c r="BD208" s="62"/>
    </row>
    <row r="209" spans="1:56" ht="19.5" customHeight="1" x14ac:dyDescent="0.45">
      <c r="A209" s="104" t="str">
        <f t="shared" si="27"/>
        <v/>
      </c>
      <c r="B209" s="5"/>
      <c r="C209" s="109"/>
      <c r="D209" s="107"/>
      <c r="E209" s="6"/>
      <c r="F209" s="85"/>
      <c r="G209" s="85"/>
      <c r="H209" s="104" t="str">
        <f t="shared" si="28"/>
        <v/>
      </c>
      <c r="I209" s="103" t="str">
        <f>IFERROR(INDEX(#REF!,MATCH(E209,#REF!,0)),"")</f>
        <v/>
      </c>
      <c r="J209" s="6"/>
      <c r="K209" s="103" t="str">
        <f t="shared" si="29"/>
        <v/>
      </c>
      <c r="L209" s="8"/>
      <c r="M209" s="102" t="str">
        <f t="shared" si="30"/>
        <v/>
      </c>
      <c r="N209" s="9"/>
      <c r="O209" s="103" t="str">
        <f t="shared" si="31"/>
        <v/>
      </c>
      <c r="P209" s="6"/>
      <c r="Q209" s="7"/>
      <c r="R209" s="10"/>
      <c r="S209" s="29" t="str">
        <f t="shared" ca="1" si="32"/>
        <v/>
      </c>
      <c r="T209" s="7"/>
      <c r="U209" s="74"/>
      <c r="V209" s="101">
        <f>IF(OR(T209="",U209=""),0,IFERROR(INDEX(#REF!,MATCH(T209,#REF!,0))*U209,0))</f>
        <v>0</v>
      </c>
      <c r="W209" s="7"/>
      <c r="X209" s="74"/>
      <c r="Y209" s="101">
        <f>IF(OR(W209="",X209=""),0,IFERROR(INDEX(#REF!,MATCH(W209,#REF!,0))*X209,0))</f>
        <v>0</v>
      </c>
      <c r="Z209" s="7"/>
      <c r="AA209" s="74"/>
      <c r="AB209" s="101">
        <f>IF(OR(Z209="",AA209=""),0,IFERROR(INDEX(#REF!,MATCH(Z209,#REF!,0))*AA209,0))</f>
        <v>0</v>
      </c>
      <c r="AC209" s="7"/>
      <c r="AD209" s="74"/>
      <c r="AE209" s="101">
        <f>IF(OR(AC209="",AD209=""),0,IFERROR(INDEX(#REF!,MATCH(AC209,#REF!,0))*AD209,0))</f>
        <v>0</v>
      </c>
      <c r="AF209" s="7"/>
      <c r="AG209" s="74"/>
      <c r="AH209" s="101">
        <f>IF(OR(AF209="",AG209=""),0,IFERROR(INDEX(#REF!,MATCH(AF209,#REF!,0))*AG209,0))</f>
        <v>0</v>
      </c>
      <c r="AI209" s="7"/>
      <c r="AJ209" s="74"/>
      <c r="AK209" s="101">
        <f>IF(OR(AI209="",AJ209=""),0,IFERROR(INDEX(#REF!,MATCH(AI209,#REF!,0))*AJ209,0))</f>
        <v>0</v>
      </c>
      <c r="AL209" s="101">
        <f t="shared" si="33"/>
        <v>0</v>
      </c>
      <c r="AM209" s="7"/>
      <c r="AN209" s="72"/>
      <c r="AO209" s="99">
        <f>IF(OR(AM209="",AN209=""),0,IFERROR(INDEX(#REF!,MATCH(AM209,#REF!,0))*AN209,0))</f>
        <v>0</v>
      </c>
      <c r="AP209" s="7"/>
      <c r="AQ209" s="74"/>
      <c r="AR209" s="99">
        <f>IF(OR(AP209="",AQ209=""),0,IFERROR(INDEX(#REF!,MATCH(AP209,#REF!,0))*AQ209,0))</f>
        <v>0</v>
      </c>
      <c r="AS209" s="7"/>
      <c r="AT209" s="74"/>
      <c r="AU209" s="99">
        <f>IF(OR(AS209="",AT209=""),0,IFERROR(INDEX(#REF!,MATCH(AS209,#REF!,0))*AT209,0))</f>
        <v>0</v>
      </c>
      <c r="AV209" s="7"/>
      <c r="AW209" s="74"/>
      <c r="AX209" s="99">
        <f>IF(OR(AV209="",AW209=""),0,IFERROR(INDEX(#REF!,MATCH(AV209,#REF!,0))*AW209,0))</f>
        <v>0</v>
      </c>
      <c r="AY209" s="7"/>
      <c r="AZ209" s="77"/>
      <c r="BA209" s="99">
        <f>IF(OR(AY209="",AZ209=""),0,IFERROR(INDEX(#REF!,MATCH(AY209,#REF!,0))*AZ209,0))</f>
        <v>0</v>
      </c>
      <c r="BB209" s="100">
        <f t="shared" si="34"/>
        <v>0</v>
      </c>
      <c r="BC209" s="110" t="str">
        <f t="shared" si="35"/>
        <v/>
      </c>
      <c r="BD209" s="62"/>
    </row>
    <row r="210" spans="1:56" ht="19.5" customHeight="1" x14ac:dyDescent="0.45">
      <c r="A210" s="104" t="str">
        <f t="shared" si="27"/>
        <v/>
      </c>
      <c r="B210" s="5"/>
      <c r="C210" s="109"/>
      <c r="D210" s="107"/>
      <c r="E210" s="6"/>
      <c r="F210" s="85"/>
      <c r="G210" s="85"/>
      <c r="H210" s="104" t="str">
        <f t="shared" si="28"/>
        <v/>
      </c>
      <c r="I210" s="103" t="str">
        <f>IFERROR(INDEX(#REF!,MATCH(E210,#REF!,0)),"")</f>
        <v/>
      </c>
      <c r="J210" s="6"/>
      <c r="K210" s="103" t="str">
        <f t="shared" si="29"/>
        <v/>
      </c>
      <c r="L210" s="8"/>
      <c r="M210" s="102" t="str">
        <f t="shared" si="30"/>
        <v/>
      </c>
      <c r="N210" s="9"/>
      <c r="O210" s="103" t="str">
        <f t="shared" si="31"/>
        <v/>
      </c>
      <c r="P210" s="6"/>
      <c r="Q210" s="7"/>
      <c r="R210" s="10"/>
      <c r="S210" s="29" t="str">
        <f t="shared" ca="1" si="32"/>
        <v/>
      </c>
      <c r="T210" s="7"/>
      <c r="U210" s="74"/>
      <c r="V210" s="101">
        <f>IF(OR(T210="",U210=""),0,IFERROR(INDEX(#REF!,MATCH(T210,#REF!,0))*U210,0))</f>
        <v>0</v>
      </c>
      <c r="W210" s="7"/>
      <c r="X210" s="74"/>
      <c r="Y210" s="101">
        <f>IF(OR(W210="",X210=""),0,IFERROR(INDEX(#REF!,MATCH(W210,#REF!,0))*X210,0))</f>
        <v>0</v>
      </c>
      <c r="Z210" s="7"/>
      <c r="AA210" s="74"/>
      <c r="AB210" s="101">
        <f>IF(OR(Z210="",AA210=""),0,IFERROR(INDEX(#REF!,MATCH(Z210,#REF!,0))*AA210,0))</f>
        <v>0</v>
      </c>
      <c r="AC210" s="7"/>
      <c r="AD210" s="74"/>
      <c r="AE210" s="101">
        <f>IF(OR(AC210="",AD210=""),0,IFERROR(INDEX(#REF!,MATCH(AC210,#REF!,0))*AD210,0))</f>
        <v>0</v>
      </c>
      <c r="AF210" s="7"/>
      <c r="AG210" s="74"/>
      <c r="AH210" s="101">
        <f>IF(OR(AF210="",AG210=""),0,IFERROR(INDEX(#REF!,MATCH(AF210,#REF!,0))*AG210,0))</f>
        <v>0</v>
      </c>
      <c r="AI210" s="7"/>
      <c r="AJ210" s="74"/>
      <c r="AK210" s="101">
        <f>IF(OR(AI210="",AJ210=""),0,IFERROR(INDEX(#REF!,MATCH(AI210,#REF!,0))*AJ210,0))</f>
        <v>0</v>
      </c>
      <c r="AL210" s="101">
        <f t="shared" si="33"/>
        <v>0</v>
      </c>
      <c r="AM210" s="7"/>
      <c r="AN210" s="72"/>
      <c r="AO210" s="99">
        <f>IF(OR(AM210="",AN210=""),0,IFERROR(INDEX(#REF!,MATCH(AM210,#REF!,0))*AN210,0))</f>
        <v>0</v>
      </c>
      <c r="AP210" s="7"/>
      <c r="AQ210" s="74"/>
      <c r="AR210" s="99">
        <f>IF(OR(AP210="",AQ210=""),0,IFERROR(INDEX(#REF!,MATCH(AP210,#REF!,0))*AQ210,0))</f>
        <v>0</v>
      </c>
      <c r="AS210" s="7"/>
      <c r="AT210" s="74"/>
      <c r="AU210" s="99">
        <f>IF(OR(AS210="",AT210=""),0,IFERROR(INDEX(#REF!,MATCH(AS210,#REF!,0))*AT210,0))</f>
        <v>0</v>
      </c>
      <c r="AV210" s="7"/>
      <c r="AW210" s="74"/>
      <c r="AX210" s="99">
        <f>IF(OR(AV210="",AW210=""),0,IFERROR(INDEX(#REF!,MATCH(AV210,#REF!,0))*AW210,0))</f>
        <v>0</v>
      </c>
      <c r="AY210" s="7"/>
      <c r="AZ210" s="77"/>
      <c r="BA210" s="99">
        <f>IF(OR(AY210="",AZ210=""),0,IFERROR(INDEX(#REF!,MATCH(AY210,#REF!,0))*AZ210,0))</f>
        <v>0</v>
      </c>
      <c r="BB210" s="100">
        <f t="shared" si="34"/>
        <v>0</v>
      </c>
      <c r="BC210" s="110" t="str">
        <f t="shared" si="35"/>
        <v/>
      </c>
      <c r="BD210" s="62"/>
    </row>
    <row r="211" spans="1:56" ht="19.5" customHeight="1" x14ac:dyDescent="0.45">
      <c r="A211" s="104" t="str">
        <f t="shared" si="27"/>
        <v/>
      </c>
      <c r="B211" s="5"/>
      <c r="C211" s="109"/>
      <c r="D211" s="107"/>
      <c r="E211" s="6"/>
      <c r="F211" s="85"/>
      <c r="G211" s="85"/>
      <c r="H211" s="104" t="str">
        <f t="shared" si="28"/>
        <v/>
      </c>
      <c r="I211" s="103" t="str">
        <f>IFERROR(INDEX(#REF!,MATCH(E211,#REF!,0)),"")</f>
        <v/>
      </c>
      <c r="J211" s="6"/>
      <c r="K211" s="103" t="str">
        <f t="shared" si="29"/>
        <v/>
      </c>
      <c r="L211" s="8"/>
      <c r="M211" s="102" t="str">
        <f t="shared" si="30"/>
        <v/>
      </c>
      <c r="N211" s="9"/>
      <c r="O211" s="103" t="str">
        <f t="shared" si="31"/>
        <v/>
      </c>
      <c r="P211" s="6"/>
      <c r="Q211" s="7"/>
      <c r="R211" s="10"/>
      <c r="S211" s="29" t="str">
        <f t="shared" ca="1" si="32"/>
        <v/>
      </c>
      <c r="T211" s="7"/>
      <c r="U211" s="74"/>
      <c r="V211" s="101">
        <f>IF(OR(T211="",U211=""),0,IFERROR(INDEX(#REF!,MATCH(T211,#REF!,0))*U211,0))</f>
        <v>0</v>
      </c>
      <c r="W211" s="7"/>
      <c r="X211" s="74"/>
      <c r="Y211" s="101">
        <f>IF(OR(W211="",X211=""),0,IFERROR(INDEX(#REF!,MATCH(W211,#REF!,0))*X211,0))</f>
        <v>0</v>
      </c>
      <c r="Z211" s="7"/>
      <c r="AA211" s="74"/>
      <c r="AB211" s="101">
        <f>IF(OR(Z211="",AA211=""),0,IFERROR(INDEX(#REF!,MATCH(Z211,#REF!,0))*AA211,0))</f>
        <v>0</v>
      </c>
      <c r="AC211" s="7"/>
      <c r="AD211" s="74"/>
      <c r="AE211" s="101">
        <f>IF(OR(AC211="",AD211=""),0,IFERROR(INDEX(#REF!,MATCH(AC211,#REF!,0))*AD211,0))</f>
        <v>0</v>
      </c>
      <c r="AF211" s="7"/>
      <c r="AG211" s="74"/>
      <c r="AH211" s="101">
        <f>IF(OR(AF211="",AG211=""),0,IFERROR(INDEX(#REF!,MATCH(AF211,#REF!,0))*AG211,0))</f>
        <v>0</v>
      </c>
      <c r="AI211" s="7"/>
      <c r="AJ211" s="74"/>
      <c r="AK211" s="101">
        <f>IF(OR(AI211="",AJ211=""),0,IFERROR(INDEX(#REF!,MATCH(AI211,#REF!,0))*AJ211,0))</f>
        <v>0</v>
      </c>
      <c r="AL211" s="101">
        <f t="shared" si="33"/>
        <v>0</v>
      </c>
      <c r="AM211" s="7"/>
      <c r="AN211" s="72"/>
      <c r="AO211" s="99">
        <f>IF(OR(AM211="",AN211=""),0,IFERROR(INDEX(#REF!,MATCH(AM211,#REF!,0))*AN211,0))</f>
        <v>0</v>
      </c>
      <c r="AP211" s="7"/>
      <c r="AQ211" s="74"/>
      <c r="AR211" s="99">
        <f>IF(OR(AP211="",AQ211=""),0,IFERROR(INDEX(#REF!,MATCH(AP211,#REF!,0))*AQ211,0))</f>
        <v>0</v>
      </c>
      <c r="AS211" s="7"/>
      <c r="AT211" s="74"/>
      <c r="AU211" s="99">
        <f>IF(OR(AS211="",AT211=""),0,IFERROR(INDEX(#REF!,MATCH(AS211,#REF!,0))*AT211,0))</f>
        <v>0</v>
      </c>
      <c r="AV211" s="7"/>
      <c r="AW211" s="74"/>
      <c r="AX211" s="99">
        <f>IF(OR(AV211="",AW211=""),0,IFERROR(INDEX(#REF!,MATCH(AV211,#REF!,0))*AW211,0))</f>
        <v>0</v>
      </c>
      <c r="AY211" s="7"/>
      <c r="AZ211" s="77"/>
      <c r="BA211" s="99">
        <f>IF(OR(AY211="",AZ211=""),0,IFERROR(INDEX(#REF!,MATCH(AY211,#REF!,0))*AZ211,0))</f>
        <v>0</v>
      </c>
      <c r="BB211" s="100">
        <f t="shared" si="34"/>
        <v>0</v>
      </c>
      <c r="BC211" s="110" t="str">
        <f t="shared" si="35"/>
        <v/>
      </c>
      <c r="BD211" s="62"/>
    </row>
    <row r="212" spans="1:56" ht="19.5" customHeight="1" x14ac:dyDescent="0.45">
      <c r="A212" s="104" t="str">
        <f t="shared" si="27"/>
        <v/>
      </c>
      <c r="B212" s="5"/>
      <c r="C212" s="109"/>
      <c r="D212" s="107"/>
      <c r="E212" s="6"/>
      <c r="F212" s="85"/>
      <c r="G212" s="85"/>
      <c r="H212" s="104" t="str">
        <f t="shared" si="28"/>
        <v/>
      </c>
      <c r="I212" s="103" t="str">
        <f>IFERROR(INDEX(#REF!,MATCH(E212,#REF!,0)),"")</f>
        <v/>
      </c>
      <c r="J212" s="6"/>
      <c r="K212" s="103" t="str">
        <f t="shared" si="29"/>
        <v/>
      </c>
      <c r="L212" s="8"/>
      <c r="M212" s="102" t="str">
        <f t="shared" si="30"/>
        <v/>
      </c>
      <c r="N212" s="9"/>
      <c r="O212" s="103" t="str">
        <f t="shared" si="31"/>
        <v/>
      </c>
      <c r="P212" s="6"/>
      <c r="Q212" s="7"/>
      <c r="R212" s="10"/>
      <c r="S212" s="29" t="str">
        <f t="shared" ca="1" si="32"/>
        <v/>
      </c>
      <c r="T212" s="7"/>
      <c r="U212" s="74"/>
      <c r="V212" s="101">
        <f>IF(OR(T212="",U212=""),0,IFERROR(INDEX(#REF!,MATCH(T212,#REF!,0))*U212,0))</f>
        <v>0</v>
      </c>
      <c r="W212" s="7"/>
      <c r="X212" s="74"/>
      <c r="Y212" s="101">
        <f>IF(OR(W212="",X212=""),0,IFERROR(INDEX(#REF!,MATCH(W212,#REF!,0))*X212,0))</f>
        <v>0</v>
      </c>
      <c r="Z212" s="7"/>
      <c r="AA212" s="74"/>
      <c r="AB212" s="101">
        <f>IF(OR(Z212="",AA212=""),0,IFERROR(INDEX(#REF!,MATCH(Z212,#REF!,0))*AA212,0))</f>
        <v>0</v>
      </c>
      <c r="AC212" s="7"/>
      <c r="AD212" s="74"/>
      <c r="AE212" s="101">
        <f>IF(OR(AC212="",AD212=""),0,IFERROR(INDEX(#REF!,MATCH(AC212,#REF!,0))*AD212,0))</f>
        <v>0</v>
      </c>
      <c r="AF212" s="7"/>
      <c r="AG212" s="74"/>
      <c r="AH212" s="101">
        <f>IF(OR(AF212="",AG212=""),0,IFERROR(INDEX(#REF!,MATCH(AF212,#REF!,0))*AG212,0))</f>
        <v>0</v>
      </c>
      <c r="AI212" s="7"/>
      <c r="AJ212" s="74"/>
      <c r="AK212" s="101">
        <f>IF(OR(AI212="",AJ212=""),0,IFERROR(INDEX(#REF!,MATCH(AI212,#REF!,0))*AJ212,0))</f>
        <v>0</v>
      </c>
      <c r="AL212" s="101">
        <f t="shared" si="33"/>
        <v>0</v>
      </c>
      <c r="AM212" s="7"/>
      <c r="AN212" s="72"/>
      <c r="AO212" s="99">
        <f>IF(OR(AM212="",AN212=""),0,IFERROR(INDEX(#REF!,MATCH(AM212,#REF!,0))*AN212,0))</f>
        <v>0</v>
      </c>
      <c r="AP212" s="7"/>
      <c r="AQ212" s="74"/>
      <c r="AR212" s="99">
        <f>IF(OR(AP212="",AQ212=""),0,IFERROR(INDEX(#REF!,MATCH(AP212,#REF!,0))*AQ212,0))</f>
        <v>0</v>
      </c>
      <c r="AS212" s="7"/>
      <c r="AT212" s="74"/>
      <c r="AU212" s="99">
        <f>IF(OR(AS212="",AT212=""),0,IFERROR(INDEX(#REF!,MATCH(AS212,#REF!,0))*AT212,0))</f>
        <v>0</v>
      </c>
      <c r="AV212" s="7"/>
      <c r="AW212" s="74"/>
      <c r="AX212" s="99">
        <f>IF(OR(AV212="",AW212=""),0,IFERROR(INDEX(#REF!,MATCH(AV212,#REF!,0))*AW212,0))</f>
        <v>0</v>
      </c>
      <c r="AY212" s="7"/>
      <c r="AZ212" s="77"/>
      <c r="BA212" s="99">
        <f>IF(OR(AY212="",AZ212=""),0,IFERROR(INDEX(#REF!,MATCH(AY212,#REF!,0))*AZ212,0))</f>
        <v>0</v>
      </c>
      <c r="BB212" s="100">
        <f t="shared" si="34"/>
        <v>0</v>
      </c>
      <c r="BC212" s="110" t="str">
        <f t="shared" si="35"/>
        <v/>
      </c>
      <c r="BD212" s="62"/>
    </row>
    <row r="213" spans="1:56" ht="19.5" customHeight="1" x14ac:dyDescent="0.45">
      <c r="A213" s="104" t="str">
        <f t="shared" ref="A213:A276" si="36">IF(B213="","","BK-"&amp;TEXT(ROW()-4,"0000"))</f>
        <v/>
      </c>
      <c r="B213" s="5"/>
      <c r="C213" s="109"/>
      <c r="D213" s="107"/>
      <c r="E213" s="6"/>
      <c r="F213" s="85"/>
      <c r="G213" s="85"/>
      <c r="H213" s="104" t="str">
        <f t="shared" si="28"/>
        <v/>
      </c>
      <c r="I213" s="103" t="str">
        <f>IFERROR(INDEX(#REF!,MATCH(E213,#REF!,0)),"")</f>
        <v/>
      </c>
      <c r="J213" s="6"/>
      <c r="K213" s="103" t="str">
        <f t="shared" si="29"/>
        <v/>
      </c>
      <c r="L213" s="8"/>
      <c r="M213" s="102" t="str">
        <f t="shared" si="30"/>
        <v/>
      </c>
      <c r="N213" s="9"/>
      <c r="O213" s="103" t="str">
        <f t="shared" si="31"/>
        <v/>
      </c>
      <c r="P213" s="6"/>
      <c r="Q213" s="7"/>
      <c r="R213" s="10"/>
      <c r="S213" s="29" t="str">
        <f t="shared" ca="1" si="32"/>
        <v/>
      </c>
      <c r="T213" s="7"/>
      <c r="U213" s="74"/>
      <c r="V213" s="101">
        <f>IF(OR(T213="",U213=""),0,IFERROR(INDEX(#REF!,MATCH(T213,#REF!,0))*U213,0))</f>
        <v>0</v>
      </c>
      <c r="W213" s="7"/>
      <c r="X213" s="74"/>
      <c r="Y213" s="101">
        <f>IF(OR(W213="",X213=""),0,IFERROR(INDEX(#REF!,MATCH(W213,#REF!,0))*X213,0))</f>
        <v>0</v>
      </c>
      <c r="Z213" s="7"/>
      <c r="AA213" s="74"/>
      <c r="AB213" s="101">
        <f>IF(OR(Z213="",AA213=""),0,IFERROR(INDEX(#REF!,MATCH(Z213,#REF!,0))*AA213,0))</f>
        <v>0</v>
      </c>
      <c r="AC213" s="7"/>
      <c r="AD213" s="74"/>
      <c r="AE213" s="101">
        <f>IF(OR(AC213="",AD213=""),0,IFERROR(INDEX(#REF!,MATCH(AC213,#REF!,0))*AD213,0))</f>
        <v>0</v>
      </c>
      <c r="AF213" s="7"/>
      <c r="AG213" s="74"/>
      <c r="AH213" s="101">
        <f>IF(OR(AF213="",AG213=""),0,IFERROR(INDEX(#REF!,MATCH(AF213,#REF!,0))*AG213,0))</f>
        <v>0</v>
      </c>
      <c r="AI213" s="7"/>
      <c r="AJ213" s="74"/>
      <c r="AK213" s="101">
        <f>IF(OR(AI213="",AJ213=""),0,IFERROR(INDEX(#REF!,MATCH(AI213,#REF!,0))*AJ213,0))</f>
        <v>0</v>
      </c>
      <c r="AL213" s="101">
        <f t="shared" si="33"/>
        <v>0</v>
      </c>
      <c r="AM213" s="7"/>
      <c r="AN213" s="72"/>
      <c r="AO213" s="99">
        <f>IF(OR(AM213="",AN213=""),0,IFERROR(INDEX(#REF!,MATCH(AM213,#REF!,0))*AN213,0))</f>
        <v>0</v>
      </c>
      <c r="AP213" s="7"/>
      <c r="AQ213" s="74"/>
      <c r="AR213" s="99">
        <f>IF(OR(AP213="",AQ213=""),0,IFERROR(INDEX(#REF!,MATCH(AP213,#REF!,0))*AQ213,0))</f>
        <v>0</v>
      </c>
      <c r="AS213" s="7"/>
      <c r="AT213" s="74"/>
      <c r="AU213" s="99">
        <f>IF(OR(AS213="",AT213=""),0,IFERROR(INDEX(#REF!,MATCH(AS213,#REF!,0))*AT213,0))</f>
        <v>0</v>
      </c>
      <c r="AV213" s="7"/>
      <c r="AW213" s="74"/>
      <c r="AX213" s="99">
        <f>IF(OR(AV213="",AW213=""),0,IFERROR(INDEX(#REF!,MATCH(AV213,#REF!,0))*AW213,0))</f>
        <v>0</v>
      </c>
      <c r="AY213" s="7"/>
      <c r="AZ213" s="77"/>
      <c r="BA213" s="99">
        <f>IF(OR(AY213="",AZ213=""),0,IFERROR(INDEX(#REF!,MATCH(AY213,#REF!,0))*AZ213,0))</f>
        <v>0</v>
      </c>
      <c r="BB213" s="100">
        <f t="shared" si="34"/>
        <v>0</v>
      </c>
      <c r="BC213" s="110" t="str">
        <f t="shared" si="35"/>
        <v/>
      </c>
      <c r="BD213" s="62"/>
    </row>
    <row r="214" spans="1:56" ht="19.5" customHeight="1" x14ac:dyDescent="0.45">
      <c r="A214" s="104" t="str">
        <f t="shared" si="36"/>
        <v/>
      </c>
      <c r="B214" s="5"/>
      <c r="C214" s="109"/>
      <c r="D214" s="107"/>
      <c r="E214" s="6"/>
      <c r="F214" s="85"/>
      <c r="G214" s="85"/>
      <c r="H214" s="104" t="str">
        <f t="shared" si="28"/>
        <v/>
      </c>
      <c r="I214" s="103" t="str">
        <f>IFERROR(INDEX(#REF!,MATCH(E214,#REF!,0)),"")</f>
        <v/>
      </c>
      <c r="J214" s="6"/>
      <c r="K214" s="103" t="str">
        <f t="shared" si="29"/>
        <v/>
      </c>
      <c r="L214" s="8"/>
      <c r="M214" s="102" t="str">
        <f t="shared" si="30"/>
        <v/>
      </c>
      <c r="N214" s="9"/>
      <c r="O214" s="103" t="str">
        <f t="shared" si="31"/>
        <v/>
      </c>
      <c r="P214" s="6"/>
      <c r="Q214" s="7"/>
      <c r="R214" s="10"/>
      <c r="S214" s="29" t="str">
        <f t="shared" ca="1" si="32"/>
        <v/>
      </c>
      <c r="T214" s="7"/>
      <c r="U214" s="74"/>
      <c r="V214" s="101">
        <f>IF(OR(T214="",U214=""),0,IFERROR(INDEX(#REF!,MATCH(T214,#REF!,0))*U214,0))</f>
        <v>0</v>
      </c>
      <c r="W214" s="7"/>
      <c r="X214" s="74"/>
      <c r="Y214" s="101">
        <f>IF(OR(W214="",X214=""),0,IFERROR(INDEX(#REF!,MATCH(W214,#REF!,0))*X214,0))</f>
        <v>0</v>
      </c>
      <c r="Z214" s="7"/>
      <c r="AA214" s="74"/>
      <c r="AB214" s="101">
        <f>IF(OR(Z214="",AA214=""),0,IFERROR(INDEX(#REF!,MATCH(Z214,#REF!,0))*AA214,0))</f>
        <v>0</v>
      </c>
      <c r="AC214" s="7"/>
      <c r="AD214" s="74"/>
      <c r="AE214" s="101">
        <f>IF(OR(AC214="",AD214=""),0,IFERROR(INDEX(#REF!,MATCH(AC214,#REF!,0))*AD214,0))</f>
        <v>0</v>
      </c>
      <c r="AF214" s="7"/>
      <c r="AG214" s="74"/>
      <c r="AH214" s="101">
        <f>IF(OR(AF214="",AG214=""),0,IFERROR(INDEX(#REF!,MATCH(AF214,#REF!,0))*AG214,0))</f>
        <v>0</v>
      </c>
      <c r="AI214" s="7"/>
      <c r="AJ214" s="74"/>
      <c r="AK214" s="101">
        <f>IF(OR(AI214="",AJ214=""),0,IFERROR(INDEX(#REF!,MATCH(AI214,#REF!,0))*AJ214,0))</f>
        <v>0</v>
      </c>
      <c r="AL214" s="101">
        <f t="shared" si="33"/>
        <v>0</v>
      </c>
      <c r="AM214" s="7"/>
      <c r="AN214" s="72"/>
      <c r="AO214" s="99">
        <f>IF(OR(AM214="",AN214=""),0,IFERROR(INDEX(#REF!,MATCH(AM214,#REF!,0))*AN214,0))</f>
        <v>0</v>
      </c>
      <c r="AP214" s="7"/>
      <c r="AQ214" s="74"/>
      <c r="AR214" s="99">
        <f>IF(OR(AP214="",AQ214=""),0,IFERROR(INDEX(#REF!,MATCH(AP214,#REF!,0))*AQ214,0))</f>
        <v>0</v>
      </c>
      <c r="AS214" s="7"/>
      <c r="AT214" s="74"/>
      <c r="AU214" s="99">
        <f>IF(OR(AS214="",AT214=""),0,IFERROR(INDEX(#REF!,MATCH(AS214,#REF!,0))*AT214,0))</f>
        <v>0</v>
      </c>
      <c r="AV214" s="7"/>
      <c r="AW214" s="74"/>
      <c r="AX214" s="99">
        <f>IF(OR(AV214="",AW214=""),0,IFERROR(INDEX(#REF!,MATCH(AV214,#REF!,0))*AW214,0))</f>
        <v>0</v>
      </c>
      <c r="AY214" s="7"/>
      <c r="AZ214" s="77"/>
      <c r="BA214" s="99">
        <f>IF(OR(AY214="",AZ214=""),0,IFERROR(INDEX(#REF!,MATCH(AY214,#REF!,0))*AZ214,0))</f>
        <v>0</v>
      </c>
      <c r="BB214" s="100">
        <f t="shared" si="34"/>
        <v>0</v>
      </c>
      <c r="BC214" s="110" t="str">
        <f t="shared" si="35"/>
        <v/>
      </c>
      <c r="BD214" s="62"/>
    </row>
    <row r="215" spans="1:56" ht="19.5" customHeight="1" x14ac:dyDescent="0.45">
      <c r="A215" s="104" t="str">
        <f t="shared" si="36"/>
        <v/>
      </c>
      <c r="B215" s="5"/>
      <c r="C215" s="109"/>
      <c r="D215" s="107"/>
      <c r="E215" s="6"/>
      <c r="F215" s="85"/>
      <c r="G215" s="85"/>
      <c r="H215" s="104" t="str">
        <f t="shared" si="28"/>
        <v/>
      </c>
      <c r="I215" s="103" t="str">
        <f>IFERROR(INDEX(#REF!,MATCH(E215,#REF!,0)),"")</f>
        <v/>
      </c>
      <c r="J215" s="6"/>
      <c r="K215" s="103" t="str">
        <f t="shared" si="29"/>
        <v/>
      </c>
      <c r="L215" s="8"/>
      <c r="M215" s="102" t="str">
        <f t="shared" si="30"/>
        <v/>
      </c>
      <c r="N215" s="9"/>
      <c r="O215" s="103" t="str">
        <f t="shared" si="31"/>
        <v/>
      </c>
      <c r="P215" s="6"/>
      <c r="Q215" s="7"/>
      <c r="R215" s="10"/>
      <c r="S215" s="29" t="str">
        <f t="shared" ca="1" si="32"/>
        <v/>
      </c>
      <c r="T215" s="7"/>
      <c r="U215" s="74"/>
      <c r="V215" s="101">
        <f>IF(OR(T215="",U215=""),0,IFERROR(INDEX(#REF!,MATCH(T215,#REF!,0))*U215,0))</f>
        <v>0</v>
      </c>
      <c r="W215" s="7"/>
      <c r="X215" s="74"/>
      <c r="Y215" s="101">
        <f>IF(OR(W215="",X215=""),0,IFERROR(INDEX(#REF!,MATCH(W215,#REF!,0))*X215,0))</f>
        <v>0</v>
      </c>
      <c r="Z215" s="7"/>
      <c r="AA215" s="74"/>
      <c r="AB215" s="101">
        <f>IF(OR(Z215="",AA215=""),0,IFERROR(INDEX(#REF!,MATCH(Z215,#REF!,0))*AA215,0))</f>
        <v>0</v>
      </c>
      <c r="AC215" s="7"/>
      <c r="AD215" s="74"/>
      <c r="AE215" s="101">
        <f>IF(OR(AC215="",AD215=""),0,IFERROR(INDEX(#REF!,MATCH(AC215,#REF!,0))*AD215,0))</f>
        <v>0</v>
      </c>
      <c r="AF215" s="7"/>
      <c r="AG215" s="74"/>
      <c r="AH215" s="101">
        <f>IF(OR(AF215="",AG215=""),0,IFERROR(INDEX(#REF!,MATCH(AF215,#REF!,0))*AG215,0))</f>
        <v>0</v>
      </c>
      <c r="AI215" s="7"/>
      <c r="AJ215" s="74"/>
      <c r="AK215" s="101">
        <f>IF(OR(AI215="",AJ215=""),0,IFERROR(INDEX(#REF!,MATCH(AI215,#REF!,0))*AJ215,0))</f>
        <v>0</v>
      </c>
      <c r="AL215" s="101">
        <f t="shared" si="33"/>
        <v>0</v>
      </c>
      <c r="AM215" s="7"/>
      <c r="AN215" s="72"/>
      <c r="AO215" s="99">
        <f>IF(OR(AM215="",AN215=""),0,IFERROR(INDEX(#REF!,MATCH(AM215,#REF!,0))*AN215,0))</f>
        <v>0</v>
      </c>
      <c r="AP215" s="7"/>
      <c r="AQ215" s="74"/>
      <c r="AR215" s="99">
        <f>IF(OR(AP215="",AQ215=""),0,IFERROR(INDEX(#REF!,MATCH(AP215,#REF!,0))*AQ215,0))</f>
        <v>0</v>
      </c>
      <c r="AS215" s="7"/>
      <c r="AT215" s="74"/>
      <c r="AU215" s="99">
        <f>IF(OR(AS215="",AT215=""),0,IFERROR(INDEX(#REF!,MATCH(AS215,#REF!,0))*AT215,0))</f>
        <v>0</v>
      </c>
      <c r="AV215" s="7"/>
      <c r="AW215" s="74"/>
      <c r="AX215" s="99">
        <f>IF(OR(AV215="",AW215=""),0,IFERROR(INDEX(#REF!,MATCH(AV215,#REF!,0))*AW215,0))</f>
        <v>0</v>
      </c>
      <c r="AY215" s="7"/>
      <c r="AZ215" s="77"/>
      <c r="BA215" s="99">
        <f>IF(OR(AY215="",AZ215=""),0,IFERROR(INDEX(#REF!,MATCH(AY215,#REF!,0))*AZ215,0))</f>
        <v>0</v>
      </c>
      <c r="BB215" s="100">
        <f t="shared" si="34"/>
        <v>0</v>
      </c>
      <c r="BC215" s="110" t="str">
        <f t="shared" si="35"/>
        <v/>
      </c>
      <c r="BD215" s="62"/>
    </row>
    <row r="216" spans="1:56" ht="19.5" customHeight="1" x14ac:dyDescent="0.45">
      <c r="A216" s="104" t="str">
        <f t="shared" si="36"/>
        <v/>
      </c>
      <c r="B216" s="5"/>
      <c r="C216" s="109"/>
      <c r="D216" s="107"/>
      <c r="E216" s="6"/>
      <c r="F216" s="85"/>
      <c r="G216" s="85"/>
      <c r="H216" s="104" t="str">
        <f t="shared" si="28"/>
        <v/>
      </c>
      <c r="I216" s="103" t="str">
        <f>IFERROR(INDEX(#REF!,MATCH(E216,#REF!,0)),"")</f>
        <v/>
      </c>
      <c r="J216" s="6"/>
      <c r="K216" s="103" t="str">
        <f t="shared" si="29"/>
        <v/>
      </c>
      <c r="L216" s="8"/>
      <c r="M216" s="102" t="str">
        <f t="shared" si="30"/>
        <v/>
      </c>
      <c r="N216" s="9"/>
      <c r="O216" s="103" t="str">
        <f t="shared" si="31"/>
        <v/>
      </c>
      <c r="P216" s="6"/>
      <c r="Q216" s="7"/>
      <c r="R216" s="10"/>
      <c r="S216" s="29" t="str">
        <f t="shared" ca="1" si="32"/>
        <v/>
      </c>
      <c r="T216" s="7"/>
      <c r="U216" s="74"/>
      <c r="V216" s="101">
        <f>IF(OR(T216="",U216=""),0,IFERROR(INDEX(#REF!,MATCH(T216,#REF!,0))*U216,0))</f>
        <v>0</v>
      </c>
      <c r="W216" s="7"/>
      <c r="X216" s="74"/>
      <c r="Y216" s="101">
        <f>IF(OR(W216="",X216=""),0,IFERROR(INDEX(#REF!,MATCH(W216,#REF!,0))*X216,0))</f>
        <v>0</v>
      </c>
      <c r="Z216" s="7"/>
      <c r="AA216" s="74"/>
      <c r="AB216" s="101">
        <f>IF(OR(Z216="",AA216=""),0,IFERROR(INDEX(#REF!,MATCH(Z216,#REF!,0))*AA216,0))</f>
        <v>0</v>
      </c>
      <c r="AC216" s="7"/>
      <c r="AD216" s="74"/>
      <c r="AE216" s="101">
        <f>IF(OR(AC216="",AD216=""),0,IFERROR(INDEX(#REF!,MATCH(AC216,#REF!,0))*AD216,0))</f>
        <v>0</v>
      </c>
      <c r="AF216" s="7"/>
      <c r="AG216" s="74"/>
      <c r="AH216" s="101">
        <f>IF(OR(AF216="",AG216=""),0,IFERROR(INDEX(#REF!,MATCH(AF216,#REF!,0))*AG216,0))</f>
        <v>0</v>
      </c>
      <c r="AI216" s="7"/>
      <c r="AJ216" s="74"/>
      <c r="AK216" s="101">
        <f>IF(OR(AI216="",AJ216=""),0,IFERROR(INDEX(#REF!,MATCH(AI216,#REF!,0))*AJ216,0))</f>
        <v>0</v>
      </c>
      <c r="AL216" s="101">
        <f t="shared" si="33"/>
        <v>0</v>
      </c>
      <c r="AM216" s="7"/>
      <c r="AN216" s="72"/>
      <c r="AO216" s="99">
        <f>IF(OR(AM216="",AN216=""),0,IFERROR(INDEX(#REF!,MATCH(AM216,#REF!,0))*AN216,0))</f>
        <v>0</v>
      </c>
      <c r="AP216" s="7"/>
      <c r="AQ216" s="74"/>
      <c r="AR216" s="99">
        <f>IF(OR(AP216="",AQ216=""),0,IFERROR(INDEX(#REF!,MATCH(AP216,#REF!,0))*AQ216,0))</f>
        <v>0</v>
      </c>
      <c r="AS216" s="7"/>
      <c r="AT216" s="74"/>
      <c r="AU216" s="99">
        <f>IF(OR(AS216="",AT216=""),0,IFERROR(INDEX(#REF!,MATCH(AS216,#REF!,0))*AT216,0))</f>
        <v>0</v>
      </c>
      <c r="AV216" s="7"/>
      <c r="AW216" s="74"/>
      <c r="AX216" s="99">
        <f>IF(OR(AV216="",AW216=""),0,IFERROR(INDEX(#REF!,MATCH(AV216,#REF!,0))*AW216,0))</f>
        <v>0</v>
      </c>
      <c r="AY216" s="7"/>
      <c r="AZ216" s="77"/>
      <c r="BA216" s="99">
        <f>IF(OR(AY216="",AZ216=""),0,IFERROR(INDEX(#REF!,MATCH(AY216,#REF!,0))*AZ216,0))</f>
        <v>0</v>
      </c>
      <c r="BB216" s="100">
        <f t="shared" si="34"/>
        <v>0</v>
      </c>
      <c r="BC216" s="110" t="str">
        <f t="shared" si="35"/>
        <v/>
      </c>
      <c r="BD216" s="62"/>
    </row>
    <row r="217" spans="1:56" ht="19.5" customHeight="1" x14ac:dyDescent="0.45">
      <c r="A217" s="104" t="str">
        <f t="shared" si="36"/>
        <v/>
      </c>
      <c r="B217" s="5"/>
      <c r="C217" s="109"/>
      <c r="D217" s="107"/>
      <c r="E217" s="6"/>
      <c r="F217" s="85"/>
      <c r="G217" s="85"/>
      <c r="H217" s="104" t="str">
        <f t="shared" si="28"/>
        <v/>
      </c>
      <c r="I217" s="103" t="str">
        <f>IFERROR(INDEX(#REF!,MATCH(E217,#REF!,0)),"")</f>
        <v/>
      </c>
      <c r="J217" s="6"/>
      <c r="K217" s="103" t="str">
        <f t="shared" si="29"/>
        <v/>
      </c>
      <c r="L217" s="8"/>
      <c r="M217" s="102" t="str">
        <f t="shared" si="30"/>
        <v/>
      </c>
      <c r="N217" s="9"/>
      <c r="O217" s="103" t="str">
        <f t="shared" si="31"/>
        <v/>
      </c>
      <c r="P217" s="6"/>
      <c r="Q217" s="7"/>
      <c r="R217" s="10"/>
      <c r="S217" s="29" t="str">
        <f t="shared" ca="1" si="32"/>
        <v/>
      </c>
      <c r="T217" s="7"/>
      <c r="U217" s="74"/>
      <c r="V217" s="101">
        <f>IF(OR(T217="",U217=""),0,IFERROR(INDEX(#REF!,MATCH(T217,#REF!,0))*U217,0))</f>
        <v>0</v>
      </c>
      <c r="W217" s="7"/>
      <c r="X217" s="74"/>
      <c r="Y217" s="101">
        <f>IF(OR(W217="",X217=""),0,IFERROR(INDEX(#REF!,MATCH(W217,#REF!,0))*X217,0))</f>
        <v>0</v>
      </c>
      <c r="Z217" s="7"/>
      <c r="AA217" s="74"/>
      <c r="AB217" s="101">
        <f>IF(OR(Z217="",AA217=""),0,IFERROR(INDEX(#REF!,MATCH(Z217,#REF!,0))*AA217,0))</f>
        <v>0</v>
      </c>
      <c r="AC217" s="7"/>
      <c r="AD217" s="74"/>
      <c r="AE217" s="101">
        <f>IF(OR(AC217="",AD217=""),0,IFERROR(INDEX(#REF!,MATCH(AC217,#REF!,0))*AD217,0))</f>
        <v>0</v>
      </c>
      <c r="AF217" s="7"/>
      <c r="AG217" s="74"/>
      <c r="AH217" s="101">
        <f>IF(OR(AF217="",AG217=""),0,IFERROR(INDEX(#REF!,MATCH(AF217,#REF!,0))*AG217,0))</f>
        <v>0</v>
      </c>
      <c r="AI217" s="7"/>
      <c r="AJ217" s="74"/>
      <c r="AK217" s="101">
        <f>IF(OR(AI217="",AJ217=""),0,IFERROR(INDEX(#REF!,MATCH(AI217,#REF!,0))*AJ217,0))</f>
        <v>0</v>
      </c>
      <c r="AL217" s="101">
        <f t="shared" si="33"/>
        <v>0</v>
      </c>
      <c r="AM217" s="7"/>
      <c r="AN217" s="72"/>
      <c r="AO217" s="99">
        <f>IF(OR(AM217="",AN217=""),0,IFERROR(INDEX(#REF!,MATCH(AM217,#REF!,0))*AN217,0))</f>
        <v>0</v>
      </c>
      <c r="AP217" s="7"/>
      <c r="AQ217" s="74"/>
      <c r="AR217" s="99">
        <f>IF(OR(AP217="",AQ217=""),0,IFERROR(INDEX(#REF!,MATCH(AP217,#REF!,0))*AQ217,0))</f>
        <v>0</v>
      </c>
      <c r="AS217" s="7"/>
      <c r="AT217" s="74"/>
      <c r="AU217" s="99">
        <f>IF(OR(AS217="",AT217=""),0,IFERROR(INDEX(#REF!,MATCH(AS217,#REF!,0))*AT217,0))</f>
        <v>0</v>
      </c>
      <c r="AV217" s="7"/>
      <c r="AW217" s="74"/>
      <c r="AX217" s="99">
        <f>IF(OR(AV217="",AW217=""),0,IFERROR(INDEX(#REF!,MATCH(AV217,#REF!,0))*AW217,0))</f>
        <v>0</v>
      </c>
      <c r="AY217" s="7"/>
      <c r="AZ217" s="77"/>
      <c r="BA217" s="99">
        <f>IF(OR(AY217="",AZ217=""),0,IFERROR(INDEX(#REF!,MATCH(AY217,#REF!,0))*AZ217,0))</f>
        <v>0</v>
      </c>
      <c r="BB217" s="100">
        <f t="shared" si="34"/>
        <v>0</v>
      </c>
      <c r="BC217" s="110" t="str">
        <f t="shared" si="35"/>
        <v/>
      </c>
      <c r="BD217" s="62"/>
    </row>
    <row r="218" spans="1:56" ht="19.5" customHeight="1" x14ac:dyDescent="0.45">
      <c r="A218" s="104" t="str">
        <f t="shared" si="36"/>
        <v/>
      </c>
      <c r="B218" s="5"/>
      <c r="C218" s="109"/>
      <c r="D218" s="107"/>
      <c r="E218" s="6"/>
      <c r="F218" s="85"/>
      <c r="G218" s="85"/>
      <c r="H218" s="104" t="str">
        <f t="shared" si="28"/>
        <v/>
      </c>
      <c r="I218" s="103" t="str">
        <f>IFERROR(INDEX(#REF!,MATCH(E218,#REF!,0)),"")</f>
        <v/>
      </c>
      <c r="J218" s="6"/>
      <c r="K218" s="103" t="str">
        <f t="shared" si="29"/>
        <v/>
      </c>
      <c r="L218" s="8"/>
      <c r="M218" s="102" t="str">
        <f t="shared" si="30"/>
        <v/>
      </c>
      <c r="N218" s="9"/>
      <c r="O218" s="103" t="str">
        <f t="shared" si="31"/>
        <v/>
      </c>
      <c r="P218" s="6"/>
      <c r="Q218" s="7"/>
      <c r="R218" s="10"/>
      <c r="S218" s="29" t="str">
        <f t="shared" ca="1" si="32"/>
        <v/>
      </c>
      <c r="T218" s="7"/>
      <c r="U218" s="74"/>
      <c r="V218" s="101">
        <f>IF(OR(T218="",U218=""),0,IFERROR(INDEX(#REF!,MATCH(T218,#REF!,0))*U218,0))</f>
        <v>0</v>
      </c>
      <c r="W218" s="7"/>
      <c r="X218" s="74"/>
      <c r="Y218" s="101">
        <f>IF(OR(W218="",X218=""),0,IFERROR(INDEX(#REF!,MATCH(W218,#REF!,0))*X218,0))</f>
        <v>0</v>
      </c>
      <c r="Z218" s="7"/>
      <c r="AA218" s="74"/>
      <c r="AB218" s="101">
        <f>IF(OR(Z218="",AA218=""),0,IFERROR(INDEX(#REF!,MATCH(Z218,#REF!,0))*AA218,0))</f>
        <v>0</v>
      </c>
      <c r="AC218" s="7"/>
      <c r="AD218" s="74"/>
      <c r="AE218" s="101">
        <f>IF(OR(AC218="",AD218=""),0,IFERROR(INDEX(#REF!,MATCH(AC218,#REF!,0))*AD218,0))</f>
        <v>0</v>
      </c>
      <c r="AF218" s="7"/>
      <c r="AG218" s="74"/>
      <c r="AH218" s="101">
        <f>IF(OR(AF218="",AG218=""),0,IFERROR(INDEX(#REF!,MATCH(AF218,#REF!,0))*AG218,0))</f>
        <v>0</v>
      </c>
      <c r="AI218" s="7"/>
      <c r="AJ218" s="74"/>
      <c r="AK218" s="101">
        <f>IF(OR(AI218="",AJ218=""),0,IFERROR(INDEX(#REF!,MATCH(AI218,#REF!,0))*AJ218,0))</f>
        <v>0</v>
      </c>
      <c r="AL218" s="101">
        <f t="shared" si="33"/>
        <v>0</v>
      </c>
      <c r="AM218" s="7"/>
      <c r="AN218" s="72"/>
      <c r="AO218" s="99">
        <f>IF(OR(AM218="",AN218=""),0,IFERROR(INDEX(#REF!,MATCH(AM218,#REF!,0))*AN218,0))</f>
        <v>0</v>
      </c>
      <c r="AP218" s="7"/>
      <c r="AQ218" s="74"/>
      <c r="AR218" s="99">
        <f>IF(OR(AP218="",AQ218=""),0,IFERROR(INDEX(#REF!,MATCH(AP218,#REF!,0))*AQ218,0))</f>
        <v>0</v>
      </c>
      <c r="AS218" s="7"/>
      <c r="AT218" s="74"/>
      <c r="AU218" s="99">
        <f>IF(OR(AS218="",AT218=""),0,IFERROR(INDEX(#REF!,MATCH(AS218,#REF!,0))*AT218,0))</f>
        <v>0</v>
      </c>
      <c r="AV218" s="7"/>
      <c r="AW218" s="74"/>
      <c r="AX218" s="99">
        <f>IF(OR(AV218="",AW218=""),0,IFERROR(INDEX(#REF!,MATCH(AV218,#REF!,0))*AW218,0))</f>
        <v>0</v>
      </c>
      <c r="AY218" s="7"/>
      <c r="AZ218" s="77"/>
      <c r="BA218" s="99">
        <f>IF(OR(AY218="",AZ218=""),0,IFERROR(INDEX(#REF!,MATCH(AY218,#REF!,0))*AZ218,0))</f>
        <v>0</v>
      </c>
      <c r="BB218" s="100">
        <f t="shared" si="34"/>
        <v>0</v>
      </c>
      <c r="BC218" s="110" t="str">
        <f t="shared" si="35"/>
        <v/>
      </c>
      <c r="BD218" s="62"/>
    </row>
    <row r="219" spans="1:56" ht="19.5" customHeight="1" x14ac:dyDescent="0.45">
      <c r="A219" s="104" t="str">
        <f t="shared" si="36"/>
        <v/>
      </c>
      <c r="B219" s="5"/>
      <c r="C219" s="109"/>
      <c r="D219" s="107"/>
      <c r="E219" s="6"/>
      <c r="F219" s="85"/>
      <c r="G219" s="85"/>
      <c r="H219" s="104" t="str">
        <f t="shared" si="28"/>
        <v/>
      </c>
      <c r="I219" s="103" t="str">
        <f>IFERROR(INDEX(#REF!,MATCH(E219,#REF!,0)),"")</f>
        <v/>
      </c>
      <c r="J219" s="6"/>
      <c r="K219" s="103" t="str">
        <f t="shared" si="29"/>
        <v/>
      </c>
      <c r="L219" s="8"/>
      <c r="M219" s="102" t="str">
        <f t="shared" si="30"/>
        <v/>
      </c>
      <c r="N219" s="9"/>
      <c r="O219" s="103" t="str">
        <f t="shared" si="31"/>
        <v/>
      </c>
      <c r="P219" s="6"/>
      <c r="Q219" s="7"/>
      <c r="R219" s="10"/>
      <c r="S219" s="29" t="str">
        <f t="shared" ca="1" si="32"/>
        <v/>
      </c>
      <c r="T219" s="7"/>
      <c r="U219" s="74"/>
      <c r="V219" s="101">
        <f>IF(OR(T219="",U219=""),0,IFERROR(INDEX(#REF!,MATCH(T219,#REF!,0))*U219,0))</f>
        <v>0</v>
      </c>
      <c r="W219" s="7"/>
      <c r="X219" s="74"/>
      <c r="Y219" s="101">
        <f>IF(OR(W219="",X219=""),0,IFERROR(INDEX(#REF!,MATCH(W219,#REF!,0))*X219,0))</f>
        <v>0</v>
      </c>
      <c r="Z219" s="7"/>
      <c r="AA219" s="74"/>
      <c r="AB219" s="101">
        <f>IF(OR(Z219="",AA219=""),0,IFERROR(INDEX(#REF!,MATCH(Z219,#REF!,0))*AA219,0))</f>
        <v>0</v>
      </c>
      <c r="AC219" s="7"/>
      <c r="AD219" s="74"/>
      <c r="AE219" s="101">
        <f>IF(OR(AC219="",AD219=""),0,IFERROR(INDEX(#REF!,MATCH(AC219,#REF!,0))*AD219,0))</f>
        <v>0</v>
      </c>
      <c r="AF219" s="7"/>
      <c r="AG219" s="74"/>
      <c r="AH219" s="101">
        <f>IF(OR(AF219="",AG219=""),0,IFERROR(INDEX(#REF!,MATCH(AF219,#REF!,0))*AG219,0))</f>
        <v>0</v>
      </c>
      <c r="AI219" s="7"/>
      <c r="AJ219" s="74"/>
      <c r="AK219" s="101">
        <f>IF(OR(AI219="",AJ219=""),0,IFERROR(INDEX(#REF!,MATCH(AI219,#REF!,0))*AJ219,0))</f>
        <v>0</v>
      </c>
      <c r="AL219" s="101">
        <f t="shared" si="33"/>
        <v>0</v>
      </c>
      <c r="AM219" s="7"/>
      <c r="AN219" s="72"/>
      <c r="AO219" s="99">
        <f>IF(OR(AM219="",AN219=""),0,IFERROR(INDEX(#REF!,MATCH(AM219,#REF!,0))*AN219,0))</f>
        <v>0</v>
      </c>
      <c r="AP219" s="7"/>
      <c r="AQ219" s="74"/>
      <c r="AR219" s="99">
        <f>IF(OR(AP219="",AQ219=""),0,IFERROR(INDEX(#REF!,MATCH(AP219,#REF!,0))*AQ219,0))</f>
        <v>0</v>
      </c>
      <c r="AS219" s="7"/>
      <c r="AT219" s="74"/>
      <c r="AU219" s="99">
        <f>IF(OR(AS219="",AT219=""),0,IFERROR(INDEX(#REF!,MATCH(AS219,#REF!,0))*AT219,0))</f>
        <v>0</v>
      </c>
      <c r="AV219" s="7"/>
      <c r="AW219" s="74"/>
      <c r="AX219" s="99">
        <f>IF(OR(AV219="",AW219=""),0,IFERROR(INDEX(#REF!,MATCH(AV219,#REF!,0))*AW219,0))</f>
        <v>0</v>
      </c>
      <c r="AY219" s="7"/>
      <c r="AZ219" s="77"/>
      <c r="BA219" s="99">
        <f>IF(OR(AY219="",AZ219=""),0,IFERROR(INDEX(#REF!,MATCH(AY219,#REF!,0))*AZ219,0))</f>
        <v>0</v>
      </c>
      <c r="BB219" s="100">
        <f t="shared" si="34"/>
        <v>0</v>
      </c>
      <c r="BC219" s="110" t="str">
        <f t="shared" si="35"/>
        <v/>
      </c>
      <c r="BD219" s="62"/>
    </row>
    <row r="220" spans="1:56" ht="19.5" customHeight="1" x14ac:dyDescent="0.45">
      <c r="A220" s="104" t="str">
        <f t="shared" si="36"/>
        <v/>
      </c>
      <c r="B220" s="5"/>
      <c r="C220" s="109"/>
      <c r="D220" s="107"/>
      <c r="E220" s="6"/>
      <c r="F220" s="85"/>
      <c r="G220" s="85"/>
      <c r="H220" s="104" t="str">
        <f t="shared" si="28"/>
        <v/>
      </c>
      <c r="I220" s="103" t="str">
        <f>IFERROR(INDEX(#REF!,MATCH(E220,#REF!,0)),"")</f>
        <v/>
      </c>
      <c r="J220" s="6"/>
      <c r="K220" s="103" t="str">
        <f t="shared" si="29"/>
        <v/>
      </c>
      <c r="L220" s="8"/>
      <c r="M220" s="102" t="str">
        <f t="shared" si="30"/>
        <v/>
      </c>
      <c r="N220" s="9"/>
      <c r="O220" s="103" t="str">
        <f t="shared" si="31"/>
        <v/>
      </c>
      <c r="P220" s="6"/>
      <c r="Q220" s="7"/>
      <c r="R220" s="10"/>
      <c r="S220" s="29" t="str">
        <f t="shared" ca="1" si="32"/>
        <v/>
      </c>
      <c r="T220" s="7"/>
      <c r="U220" s="74"/>
      <c r="V220" s="101">
        <f>IF(OR(T220="",U220=""),0,IFERROR(INDEX(#REF!,MATCH(T220,#REF!,0))*U220,0))</f>
        <v>0</v>
      </c>
      <c r="W220" s="7"/>
      <c r="X220" s="74"/>
      <c r="Y220" s="101">
        <f>IF(OR(W220="",X220=""),0,IFERROR(INDEX(#REF!,MATCH(W220,#REF!,0))*X220,0))</f>
        <v>0</v>
      </c>
      <c r="Z220" s="7"/>
      <c r="AA220" s="74"/>
      <c r="AB220" s="101">
        <f>IF(OR(Z220="",AA220=""),0,IFERROR(INDEX(#REF!,MATCH(Z220,#REF!,0))*AA220,0))</f>
        <v>0</v>
      </c>
      <c r="AC220" s="7"/>
      <c r="AD220" s="74"/>
      <c r="AE220" s="101">
        <f>IF(OR(AC220="",AD220=""),0,IFERROR(INDEX(#REF!,MATCH(AC220,#REF!,0))*AD220,0))</f>
        <v>0</v>
      </c>
      <c r="AF220" s="7"/>
      <c r="AG220" s="74"/>
      <c r="AH220" s="101">
        <f>IF(OR(AF220="",AG220=""),0,IFERROR(INDEX(#REF!,MATCH(AF220,#REF!,0))*AG220,0))</f>
        <v>0</v>
      </c>
      <c r="AI220" s="7"/>
      <c r="AJ220" s="74"/>
      <c r="AK220" s="101">
        <f>IF(OR(AI220="",AJ220=""),0,IFERROR(INDEX(#REF!,MATCH(AI220,#REF!,0))*AJ220,0))</f>
        <v>0</v>
      </c>
      <c r="AL220" s="101">
        <f t="shared" si="33"/>
        <v>0</v>
      </c>
      <c r="AM220" s="7"/>
      <c r="AN220" s="72"/>
      <c r="AO220" s="99">
        <f>IF(OR(AM220="",AN220=""),0,IFERROR(INDEX(#REF!,MATCH(AM220,#REF!,0))*AN220,0))</f>
        <v>0</v>
      </c>
      <c r="AP220" s="7"/>
      <c r="AQ220" s="74"/>
      <c r="AR220" s="99">
        <f>IF(OR(AP220="",AQ220=""),0,IFERROR(INDEX(#REF!,MATCH(AP220,#REF!,0))*AQ220,0))</f>
        <v>0</v>
      </c>
      <c r="AS220" s="7"/>
      <c r="AT220" s="74"/>
      <c r="AU220" s="99">
        <f>IF(OR(AS220="",AT220=""),0,IFERROR(INDEX(#REF!,MATCH(AS220,#REF!,0))*AT220,0))</f>
        <v>0</v>
      </c>
      <c r="AV220" s="7"/>
      <c r="AW220" s="74"/>
      <c r="AX220" s="99">
        <f>IF(OR(AV220="",AW220=""),0,IFERROR(INDEX(#REF!,MATCH(AV220,#REF!,0))*AW220,0))</f>
        <v>0</v>
      </c>
      <c r="AY220" s="7"/>
      <c r="AZ220" s="77"/>
      <c r="BA220" s="99">
        <f>IF(OR(AY220="",AZ220=""),0,IFERROR(INDEX(#REF!,MATCH(AY220,#REF!,0))*AZ220,0))</f>
        <v>0</v>
      </c>
      <c r="BB220" s="100">
        <f t="shared" si="34"/>
        <v>0</v>
      </c>
      <c r="BC220" s="110" t="str">
        <f t="shared" si="35"/>
        <v/>
      </c>
      <c r="BD220" s="62"/>
    </row>
    <row r="221" spans="1:56" ht="19.5" customHeight="1" x14ac:dyDescent="0.45">
      <c r="A221" s="104" t="str">
        <f t="shared" si="36"/>
        <v/>
      </c>
      <c r="B221" s="5"/>
      <c r="C221" s="109"/>
      <c r="D221" s="107"/>
      <c r="E221" s="6"/>
      <c r="F221" s="85"/>
      <c r="G221" s="85"/>
      <c r="H221" s="104" t="str">
        <f t="shared" si="28"/>
        <v/>
      </c>
      <c r="I221" s="103" t="str">
        <f>IFERROR(INDEX(#REF!,MATCH(E221,#REF!,0)),"")</f>
        <v/>
      </c>
      <c r="J221" s="6"/>
      <c r="K221" s="103" t="str">
        <f t="shared" si="29"/>
        <v/>
      </c>
      <c r="L221" s="8"/>
      <c r="M221" s="102" t="str">
        <f t="shared" si="30"/>
        <v/>
      </c>
      <c r="N221" s="9"/>
      <c r="O221" s="103" t="str">
        <f t="shared" si="31"/>
        <v/>
      </c>
      <c r="P221" s="6"/>
      <c r="Q221" s="7"/>
      <c r="R221" s="10"/>
      <c r="S221" s="29" t="str">
        <f t="shared" ca="1" si="32"/>
        <v/>
      </c>
      <c r="T221" s="7"/>
      <c r="U221" s="74"/>
      <c r="V221" s="101">
        <f>IF(OR(T221="",U221=""),0,IFERROR(INDEX(#REF!,MATCH(T221,#REF!,0))*U221,0))</f>
        <v>0</v>
      </c>
      <c r="W221" s="7"/>
      <c r="X221" s="74"/>
      <c r="Y221" s="101">
        <f>IF(OR(W221="",X221=""),0,IFERROR(INDEX(#REF!,MATCH(W221,#REF!,0))*X221,0))</f>
        <v>0</v>
      </c>
      <c r="Z221" s="7"/>
      <c r="AA221" s="74"/>
      <c r="AB221" s="101">
        <f>IF(OR(Z221="",AA221=""),0,IFERROR(INDEX(#REF!,MATCH(Z221,#REF!,0))*AA221,0))</f>
        <v>0</v>
      </c>
      <c r="AC221" s="7"/>
      <c r="AD221" s="74"/>
      <c r="AE221" s="101">
        <f>IF(OR(AC221="",AD221=""),0,IFERROR(INDEX(#REF!,MATCH(AC221,#REF!,0))*AD221,0))</f>
        <v>0</v>
      </c>
      <c r="AF221" s="7"/>
      <c r="AG221" s="74"/>
      <c r="AH221" s="101">
        <f>IF(OR(AF221="",AG221=""),0,IFERROR(INDEX(#REF!,MATCH(AF221,#REF!,0))*AG221,0))</f>
        <v>0</v>
      </c>
      <c r="AI221" s="7"/>
      <c r="AJ221" s="74"/>
      <c r="AK221" s="101">
        <f>IF(OR(AI221="",AJ221=""),0,IFERROR(INDEX(#REF!,MATCH(AI221,#REF!,0))*AJ221,0))</f>
        <v>0</v>
      </c>
      <c r="AL221" s="101">
        <f t="shared" si="33"/>
        <v>0</v>
      </c>
      <c r="AM221" s="7"/>
      <c r="AN221" s="72"/>
      <c r="AO221" s="99">
        <f>IF(OR(AM221="",AN221=""),0,IFERROR(INDEX(#REF!,MATCH(AM221,#REF!,0))*AN221,0))</f>
        <v>0</v>
      </c>
      <c r="AP221" s="7"/>
      <c r="AQ221" s="74"/>
      <c r="AR221" s="99">
        <f>IF(OR(AP221="",AQ221=""),0,IFERROR(INDEX(#REF!,MATCH(AP221,#REF!,0))*AQ221,0))</f>
        <v>0</v>
      </c>
      <c r="AS221" s="7"/>
      <c r="AT221" s="74"/>
      <c r="AU221" s="99">
        <f>IF(OR(AS221="",AT221=""),0,IFERROR(INDEX(#REF!,MATCH(AS221,#REF!,0))*AT221,0))</f>
        <v>0</v>
      </c>
      <c r="AV221" s="7"/>
      <c r="AW221" s="74"/>
      <c r="AX221" s="99">
        <f>IF(OR(AV221="",AW221=""),0,IFERROR(INDEX(#REF!,MATCH(AV221,#REF!,0))*AW221,0))</f>
        <v>0</v>
      </c>
      <c r="AY221" s="7"/>
      <c r="AZ221" s="77"/>
      <c r="BA221" s="99">
        <f>IF(OR(AY221="",AZ221=""),0,IFERROR(INDEX(#REF!,MATCH(AY221,#REF!,0))*AZ221,0))</f>
        <v>0</v>
      </c>
      <c r="BB221" s="100">
        <f t="shared" si="34"/>
        <v>0</v>
      </c>
      <c r="BC221" s="110" t="str">
        <f t="shared" si="35"/>
        <v/>
      </c>
      <c r="BD221" s="62"/>
    </row>
    <row r="222" spans="1:56" ht="19.5" customHeight="1" x14ac:dyDescent="0.45">
      <c r="A222" s="104" t="str">
        <f t="shared" si="36"/>
        <v/>
      </c>
      <c r="B222" s="5"/>
      <c r="C222" s="109"/>
      <c r="D222" s="107"/>
      <c r="E222" s="6"/>
      <c r="F222" s="85"/>
      <c r="G222" s="85"/>
      <c r="H222" s="104" t="str">
        <f t="shared" si="28"/>
        <v/>
      </c>
      <c r="I222" s="103" t="str">
        <f>IFERROR(INDEX(#REF!,MATCH(E222,#REF!,0)),"")</f>
        <v/>
      </c>
      <c r="J222" s="6"/>
      <c r="K222" s="103" t="str">
        <f t="shared" si="29"/>
        <v/>
      </c>
      <c r="L222" s="8"/>
      <c r="M222" s="102" t="str">
        <f t="shared" si="30"/>
        <v/>
      </c>
      <c r="N222" s="9"/>
      <c r="O222" s="103" t="str">
        <f t="shared" si="31"/>
        <v/>
      </c>
      <c r="P222" s="6"/>
      <c r="Q222" s="7"/>
      <c r="R222" s="10"/>
      <c r="S222" s="29" t="str">
        <f t="shared" ca="1" si="32"/>
        <v/>
      </c>
      <c r="T222" s="7"/>
      <c r="U222" s="74"/>
      <c r="V222" s="101">
        <f>IF(OR(T222="",U222=""),0,IFERROR(INDEX(#REF!,MATCH(T222,#REF!,0))*U222,0))</f>
        <v>0</v>
      </c>
      <c r="W222" s="7"/>
      <c r="X222" s="74"/>
      <c r="Y222" s="101">
        <f>IF(OR(W222="",X222=""),0,IFERROR(INDEX(#REF!,MATCH(W222,#REF!,0))*X222,0))</f>
        <v>0</v>
      </c>
      <c r="Z222" s="7"/>
      <c r="AA222" s="74"/>
      <c r="AB222" s="101">
        <f>IF(OR(Z222="",AA222=""),0,IFERROR(INDEX(#REF!,MATCH(Z222,#REF!,0))*AA222,0))</f>
        <v>0</v>
      </c>
      <c r="AC222" s="7"/>
      <c r="AD222" s="74"/>
      <c r="AE222" s="101">
        <f>IF(OR(AC222="",AD222=""),0,IFERROR(INDEX(#REF!,MATCH(AC222,#REF!,0))*AD222,0))</f>
        <v>0</v>
      </c>
      <c r="AF222" s="7"/>
      <c r="AG222" s="74"/>
      <c r="AH222" s="101">
        <f>IF(OR(AF222="",AG222=""),0,IFERROR(INDEX(#REF!,MATCH(AF222,#REF!,0))*AG222,0))</f>
        <v>0</v>
      </c>
      <c r="AI222" s="7"/>
      <c r="AJ222" s="74"/>
      <c r="AK222" s="101">
        <f>IF(OR(AI222="",AJ222=""),0,IFERROR(INDEX(#REF!,MATCH(AI222,#REF!,0))*AJ222,0))</f>
        <v>0</v>
      </c>
      <c r="AL222" s="101">
        <f t="shared" si="33"/>
        <v>0</v>
      </c>
      <c r="AM222" s="7"/>
      <c r="AN222" s="72"/>
      <c r="AO222" s="99">
        <f>IF(OR(AM222="",AN222=""),0,IFERROR(INDEX(#REF!,MATCH(AM222,#REF!,0))*AN222,0))</f>
        <v>0</v>
      </c>
      <c r="AP222" s="7"/>
      <c r="AQ222" s="74"/>
      <c r="AR222" s="99">
        <f>IF(OR(AP222="",AQ222=""),0,IFERROR(INDEX(#REF!,MATCH(AP222,#REF!,0))*AQ222,0))</f>
        <v>0</v>
      </c>
      <c r="AS222" s="7"/>
      <c r="AT222" s="74"/>
      <c r="AU222" s="99">
        <f>IF(OR(AS222="",AT222=""),0,IFERROR(INDEX(#REF!,MATCH(AS222,#REF!,0))*AT222,0))</f>
        <v>0</v>
      </c>
      <c r="AV222" s="7"/>
      <c r="AW222" s="74"/>
      <c r="AX222" s="99">
        <f>IF(OR(AV222="",AW222=""),0,IFERROR(INDEX(#REF!,MATCH(AV222,#REF!,0))*AW222,0))</f>
        <v>0</v>
      </c>
      <c r="AY222" s="7"/>
      <c r="AZ222" s="77"/>
      <c r="BA222" s="99">
        <f>IF(OR(AY222="",AZ222=""),0,IFERROR(INDEX(#REF!,MATCH(AY222,#REF!,0))*AZ222,0))</f>
        <v>0</v>
      </c>
      <c r="BB222" s="100">
        <f t="shared" si="34"/>
        <v>0</v>
      </c>
      <c r="BC222" s="110" t="str">
        <f t="shared" si="35"/>
        <v/>
      </c>
      <c r="BD222" s="62"/>
    </row>
    <row r="223" spans="1:56" ht="19.5" customHeight="1" x14ac:dyDescent="0.45">
      <c r="A223" s="104" t="str">
        <f t="shared" si="36"/>
        <v/>
      </c>
      <c r="B223" s="5"/>
      <c r="C223" s="109"/>
      <c r="D223" s="107"/>
      <c r="E223" s="6"/>
      <c r="F223" s="85"/>
      <c r="G223" s="85"/>
      <c r="H223" s="104" t="str">
        <f t="shared" si="28"/>
        <v/>
      </c>
      <c r="I223" s="103" t="str">
        <f>IFERROR(INDEX(#REF!,MATCH(E223,#REF!,0)),"")</f>
        <v/>
      </c>
      <c r="J223" s="6"/>
      <c r="K223" s="103" t="str">
        <f t="shared" si="29"/>
        <v/>
      </c>
      <c r="L223" s="8"/>
      <c r="M223" s="102" t="str">
        <f t="shared" si="30"/>
        <v/>
      </c>
      <c r="N223" s="9"/>
      <c r="O223" s="103" t="str">
        <f t="shared" si="31"/>
        <v/>
      </c>
      <c r="P223" s="6"/>
      <c r="Q223" s="7"/>
      <c r="R223" s="10"/>
      <c r="S223" s="29" t="str">
        <f t="shared" ca="1" si="32"/>
        <v/>
      </c>
      <c r="T223" s="7"/>
      <c r="U223" s="74"/>
      <c r="V223" s="101">
        <f>IF(OR(T223="",U223=""),0,IFERROR(INDEX(#REF!,MATCH(T223,#REF!,0))*U223,0))</f>
        <v>0</v>
      </c>
      <c r="W223" s="7"/>
      <c r="X223" s="74"/>
      <c r="Y223" s="101">
        <f>IF(OR(W223="",X223=""),0,IFERROR(INDEX(#REF!,MATCH(W223,#REF!,0))*X223,0))</f>
        <v>0</v>
      </c>
      <c r="Z223" s="7"/>
      <c r="AA223" s="74"/>
      <c r="AB223" s="101">
        <f>IF(OR(Z223="",AA223=""),0,IFERROR(INDEX(#REF!,MATCH(Z223,#REF!,0))*AA223,0))</f>
        <v>0</v>
      </c>
      <c r="AC223" s="7"/>
      <c r="AD223" s="74"/>
      <c r="AE223" s="101">
        <f>IF(OR(AC223="",AD223=""),0,IFERROR(INDEX(#REF!,MATCH(AC223,#REF!,0))*AD223,0))</f>
        <v>0</v>
      </c>
      <c r="AF223" s="7"/>
      <c r="AG223" s="74"/>
      <c r="AH223" s="101">
        <f>IF(OR(AF223="",AG223=""),0,IFERROR(INDEX(#REF!,MATCH(AF223,#REF!,0))*AG223,0))</f>
        <v>0</v>
      </c>
      <c r="AI223" s="7"/>
      <c r="AJ223" s="74"/>
      <c r="AK223" s="101">
        <f>IF(OR(AI223="",AJ223=""),0,IFERROR(INDEX(#REF!,MATCH(AI223,#REF!,0))*AJ223,0))</f>
        <v>0</v>
      </c>
      <c r="AL223" s="101">
        <f t="shared" si="33"/>
        <v>0</v>
      </c>
      <c r="AM223" s="7"/>
      <c r="AN223" s="72"/>
      <c r="AO223" s="99">
        <f>IF(OR(AM223="",AN223=""),0,IFERROR(INDEX(#REF!,MATCH(AM223,#REF!,0))*AN223,0))</f>
        <v>0</v>
      </c>
      <c r="AP223" s="7"/>
      <c r="AQ223" s="74"/>
      <c r="AR223" s="99">
        <f>IF(OR(AP223="",AQ223=""),0,IFERROR(INDEX(#REF!,MATCH(AP223,#REF!,0))*AQ223,0))</f>
        <v>0</v>
      </c>
      <c r="AS223" s="7"/>
      <c r="AT223" s="74"/>
      <c r="AU223" s="99">
        <f>IF(OR(AS223="",AT223=""),0,IFERROR(INDEX(#REF!,MATCH(AS223,#REF!,0))*AT223,0))</f>
        <v>0</v>
      </c>
      <c r="AV223" s="7"/>
      <c r="AW223" s="74"/>
      <c r="AX223" s="99">
        <f>IF(OR(AV223="",AW223=""),0,IFERROR(INDEX(#REF!,MATCH(AV223,#REF!,0))*AW223,0))</f>
        <v>0</v>
      </c>
      <c r="AY223" s="7"/>
      <c r="AZ223" s="77"/>
      <c r="BA223" s="99">
        <f>IF(OR(AY223="",AZ223=""),0,IFERROR(INDEX(#REF!,MATCH(AY223,#REF!,0))*AZ223,0))</f>
        <v>0</v>
      </c>
      <c r="BB223" s="100">
        <f t="shared" si="34"/>
        <v>0</v>
      </c>
      <c r="BC223" s="110" t="str">
        <f t="shared" si="35"/>
        <v/>
      </c>
      <c r="BD223" s="62"/>
    </row>
    <row r="224" spans="1:56" ht="19.5" customHeight="1" x14ac:dyDescent="0.45">
      <c r="A224" s="104" t="str">
        <f t="shared" si="36"/>
        <v/>
      </c>
      <c r="B224" s="5"/>
      <c r="C224" s="109"/>
      <c r="D224" s="107"/>
      <c r="E224" s="6"/>
      <c r="F224" s="85"/>
      <c r="G224" s="85"/>
      <c r="H224" s="104" t="str">
        <f t="shared" si="28"/>
        <v/>
      </c>
      <c r="I224" s="103" t="str">
        <f>IFERROR(INDEX(#REF!,MATCH(E224,#REF!,0)),"")</f>
        <v/>
      </c>
      <c r="J224" s="6"/>
      <c r="K224" s="103" t="str">
        <f t="shared" si="29"/>
        <v/>
      </c>
      <c r="L224" s="8"/>
      <c r="M224" s="102" t="str">
        <f t="shared" si="30"/>
        <v/>
      </c>
      <c r="N224" s="9"/>
      <c r="O224" s="103" t="str">
        <f t="shared" si="31"/>
        <v/>
      </c>
      <c r="P224" s="6"/>
      <c r="Q224" s="7"/>
      <c r="R224" s="10"/>
      <c r="S224" s="29" t="str">
        <f t="shared" ca="1" si="32"/>
        <v/>
      </c>
      <c r="T224" s="7"/>
      <c r="U224" s="74"/>
      <c r="V224" s="101">
        <f>IF(OR(T224="",U224=""),0,IFERROR(INDEX(#REF!,MATCH(T224,#REF!,0))*U224,0))</f>
        <v>0</v>
      </c>
      <c r="W224" s="7"/>
      <c r="X224" s="74"/>
      <c r="Y224" s="101">
        <f>IF(OR(W224="",X224=""),0,IFERROR(INDEX(#REF!,MATCH(W224,#REF!,0))*X224,0))</f>
        <v>0</v>
      </c>
      <c r="Z224" s="7"/>
      <c r="AA224" s="74"/>
      <c r="AB224" s="101">
        <f>IF(OR(Z224="",AA224=""),0,IFERROR(INDEX(#REF!,MATCH(Z224,#REF!,0))*AA224,0))</f>
        <v>0</v>
      </c>
      <c r="AC224" s="7"/>
      <c r="AD224" s="74"/>
      <c r="AE224" s="101">
        <f>IF(OR(AC224="",AD224=""),0,IFERROR(INDEX(#REF!,MATCH(AC224,#REF!,0))*AD224,0))</f>
        <v>0</v>
      </c>
      <c r="AF224" s="7"/>
      <c r="AG224" s="74"/>
      <c r="AH224" s="101">
        <f>IF(OR(AF224="",AG224=""),0,IFERROR(INDEX(#REF!,MATCH(AF224,#REF!,0))*AG224,0))</f>
        <v>0</v>
      </c>
      <c r="AI224" s="7"/>
      <c r="AJ224" s="74"/>
      <c r="AK224" s="101">
        <f>IF(OR(AI224="",AJ224=""),0,IFERROR(INDEX(#REF!,MATCH(AI224,#REF!,0))*AJ224,0))</f>
        <v>0</v>
      </c>
      <c r="AL224" s="101">
        <f t="shared" si="33"/>
        <v>0</v>
      </c>
      <c r="AM224" s="7"/>
      <c r="AN224" s="72"/>
      <c r="AO224" s="99">
        <f>IF(OR(AM224="",AN224=""),0,IFERROR(INDEX(#REF!,MATCH(AM224,#REF!,0))*AN224,0))</f>
        <v>0</v>
      </c>
      <c r="AP224" s="7"/>
      <c r="AQ224" s="74"/>
      <c r="AR224" s="99">
        <f>IF(OR(AP224="",AQ224=""),0,IFERROR(INDEX(#REF!,MATCH(AP224,#REF!,0))*AQ224,0))</f>
        <v>0</v>
      </c>
      <c r="AS224" s="7"/>
      <c r="AT224" s="74"/>
      <c r="AU224" s="99">
        <f>IF(OR(AS224="",AT224=""),0,IFERROR(INDEX(#REF!,MATCH(AS224,#REF!,0))*AT224,0))</f>
        <v>0</v>
      </c>
      <c r="AV224" s="7"/>
      <c r="AW224" s="74"/>
      <c r="AX224" s="99">
        <f>IF(OR(AV224="",AW224=""),0,IFERROR(INDEX(#REF!,MATCH(AV224,#REF!,0))*AW224,0))</f>
        <v>0</v>
      </c>
      <c r="AY224" s="7"/>
      <c r="AZ224" s="77"/>
      <c r="BA224" s="99">
        <f>IF(OR(AY224="",AZ224=""),0,IFERROR(INDEX(#REF!,MATCH(AY224,#REF!,0))*AZ224,0))</f>
        <v>0</v>
      </c>
      <c r="BB224" s="100">
        <f t="shared" si="34"/>
        <v>0</v>
      </c>
      <c r="BC224" s="110" t="str">
        <f t="shared" si="35"/>
        <v/>
      </c>
      <c r="BD224" s="62"/>
    </row>
    <row r="225" spans="1:56" ht="19.5" customHeight="1" x14ac:dyDescent="0.45">
      <c r="A225" s="104" t="str">
        <f t="shared" si="36"/>
        <v/>
      </c>
      <c r="B225" s="5"/>
      <c r="C225" s="109"/>
      <c r="D225" s="107"/>
      <c r="E225" s="6"/>
      <c r="F225" s="85"/>
      <c r="G225" s="85"/>
      <c r="H225" s="104" t="str">
        <f t="shared" si="28"/>
        <v/>
      </c>
      <c r="I225" s="103" t="str">
        <f>IFERROR(INDEX(#REF!,MATCH(E225,#REF!,0)),"")</f>
        <v/>
      </c>
      <c r="J225" s="6"/>
      <c r="K225" s="103" t="str">
        <f t="shared" si="29"/>
        <v/>
      </c>
      <c r="L225" s="8"/>
      <c r="M225" s="102" t="str">
        <f t="shared" si="30"/>
        <v/>
      </c>
      <c r="N225" s="9"/>
      <c r="O225" s="103" t="str">
        <f t="shared" si="31"/>
        <v/>
      </c>
      <c r="P225" s="6"/>
      <c r="Q225" s="7"/>
      <c r="R225" s="10"/>
      <c r="S225" s="29" t="str">
        <f t="shared" ca="1" si="32"/>
        <v/>
      </c>
      <c r="T225" s="7"/>
      <c r="U225" s="74"/>
      <c r="V225" s="101">
        <f>IF(OR(T225="",U225=""),0,IFERROR(INDEX(#REF!,MATCH(T225,#REF!,0))*U225,0))</f>
        <v>0</v>
      </c>
      <c r="W225" s="7"/>
      <c r="X225" s="74"/>
      <c r="Y225" s="101">
        <f>IF(OR(W225="",X225=""),0,IFERROR(INDEX(#REF!,MATCH(W225,#REF!,0))*X225,0))</f>
        <v>0</v>
      </c>
      <c r="Z225" s="7"/>
      <c r="AA225" s="74"/>
      <c r="AB225" s="101">
        <f>IF(OR(Z225="",AA225=""),0,IFERROR(INDEX(#REF!,MATCH(Z225,#REF!,0))*AA225,0))</f>
        <v>0</v>
      </c>
      <c r="AC225" s="7"/>
      <c r="AD225" s="74"/>
      <c r="AE225" s="101">
        <f>IF(OR(AC225="",AD225=""),0,IFERROR(INDEX(#REF!,MATCH(AC225,#REF!,0))*AD225,0))</f>
        <v>0</v>
      </c>
      <c r="AF225" s="7"/>
      <c r="AG225" s="74"/>
      <c r="AH225" s="101">
        <f>IF(OR(AF225="",AG225=""),0,IFERROR(INDEX(#REF!,MATCH(AF225,#REF!,0))*AG225,0))</f>
        <v>0</v>
      </c>
      <c r="AI225" s="7"/>
      <c r="AJ225" s="74"/>
      <c r="AK225" s="101">
        <f>IF(OR(AI225="",AJ225=""),0,IFERROR(INDEX(#REF!,MATCH(AI225,#REF!,0))*AJ225,0))</f>
        <v>0</v>
      </c>
      <c r="AL225" s="101">
        <f t="shared" si="33"/>
        <v>0</v>
      </c>
      <c r="AM225" s="7"/>
      <c r="AN225" s="72"/>
      <c r="AO225" s="99">
        <f>IF(OR(AM225="",AN225=""),0,IFERROR(INDEX(#REF!,MATCH(AM225,#REF!,0))*AN225,0))</f>
        <v>0</v>
      </c>
      <c r="AP225" s="7"/>
      <c r="AQ225" s="74"/>
      <c r="AR225" s="99">
        <f>IF(OR(AP225="",AQ225=""),0,IFERROR(INDEX(#REF!,MATCH(AP225,#REF!,0))*AQ225,0))</f>
        <v>0</v>
      </c>
      <c r="AS225" s="7"/>
      <c r="AT225" s="74"/>
      <c r="AU225" s="99">
        <f>IF(OR(AS225="",AT225=""),0,IFERROR(INDEX(#REF!,MATCH(AS225,#REF!,0))*AT225,0))</f>
        <v>0</v>
      </c>
      <c r="AV225" s="7"/>
      <c r="AW225" s="74"/>
      <c r="AX225" s="99">
        <f>IF(OR(AV225="",AW225=""),0,IFERROR(INDEX(#REF!,MATCH(AV225,#REF!,0))*AW225,0))</f>
        <v>0</v>
      </c>
      <c r="AY225" s="7"/>
      <c r="AZ225" s="77"/>
      <c r="BA225" s="99">
        <f>IF(OR(AY225="",AZ225=""),0,IFERROR(INDEX(#REF!,MATCH(AY225,#REF!,0))*AZ225,0))</f>
        <v>0</v>
      </c>
      <c r="BB225" s="100">
        <f t="shared" si="34"/>
        <v>0</v>
      </c>
      <c r="BC225" s="110" t="str">
        <f t="shared" si="35"/>
        <v/>
      </c>
      <c r="BD225" s="62"/>
    </row>
    <row r="226" spans="1:56" ht="19.5" customHeight="1" x14ac:dyDescent="0.45">
      <c r="A226" s="104" t="str">
        <f t="shared" si="36"/>
        <v/>
      </c>
      <c r="B226" s="5"/>
      <c r="C226" s="109"/>
      <c r="D226" s="107"/>
      <c r="E226" s="6"/>
      <c r="F226" s="85"/>
      <c r="G226" s="85"/>
      <c r="H226" s="104" t="str">
        <f t="shared" si="28"/>
        <v/>
      </c>
      <c r="I226" s="103" t="str">
        <f>IFERROR(INDEX(#REF!,MATCH(E226,#REF!,0)),"")</f>
        <v/>
      </c>
      <c r="J226" s="6"/>
      <c r="K226" s="103" t="str">
        <f t="shared" si="29"/>
        <v/>
      </c>
      <c r="L226" s="8"/>
      <c r="M226" s="102" t="str">
        <f t="shared" si="30"/>
        <v/>
      </c>
      <c r="N226" s="9"/>
      <c r="O226" s="103" t="str">
        <f t="shared" si="31"/>
        <v/>
      </c>
      <c r="P226" s="6"/>
      <c r="Q226" s="7"/>
      <c r="R226" s="10"/>
      <c r="S226" s="29" t="str">
        <f t="shared" ca="1" si="32"/>
        <v/>
      </c>
      <c r="T226" s="7"/>
      <c r="U226" s="74"/>
      <c r="V226" s="101">
        <f>IF(OR(T226="",U226=""),0,IFERROR(INDEX(#REF!,MATCH(T226,#REF!,0))*U226,0))</f>
        <v>0</v>
      </c>
      <c r="W226" s="7"/>
      <c r="X226" s="74"/>
      <c r="Y226" s="101">
        <f>IF(OR(W226="",X226=""),0,IFERROR(INDEX(#REF!,MATCH(W226,#REF!,0))*X226,0))</f>
        <v>0</v>
      </c>
      <c r="Z226" s="7"/>
      <c r="AA226" s="74"/>
      <c r="AB226" s="101">
        <f>IF(OR(Z226="",AA226=""),0,IFERROR(INDEX(#REF!,MATCH(Z226,#REF!,0))*AA226,0))</f>
        <v>0</v>
      </c>
      <c r="AC226" s="7"/>
      <c r="AD226" s="74"/>
      <c r="AE226" s="101">
        <f>IF(OR(AC226="",AD226=""),0,IFERROR(INDEX(#REF!,MATCH(AC226,#REF!,0))*AD226,0))</f>
        <v>0</v>
      </c>
      <c r="AF226" s="7"/>
      <c r="AG226" s="74"/>
      <c r="AH226" s="101">
        <f>IF(OR(AF226="",AG226=""),0,IFERROR(INDEX(#REF!,MATCH(AF226,#REF!,0))*AG226,0))</f>
        <v>0</v>
      </c>
      <c r="AI226" s="7"/>
      <c r="AJ226" s="74"/>
      <c r="AK226" s="101">
        <f>IF(OR(AI226="",AJ226=""),0,IFERROR(INDEX(#REF!,MATCH(AI226,#REF!,0))*AJ226,0))</f>
        <v>0</v>
      </c>
      <c r="AL226" s="101">
        <f t="shared" si="33"/>
        <v>0</v>
      </c>
      <c r="AM226" s="7"/>
      <c r="AN226" s="72"/>
      <c r="AO226" s="99">
        <f>IF(OR(AM226="",AN226=""),0,IFERROR(INDEX(#REF!,MATCH(AM226,#REF!,0))*AN226,0))</f>
        <v>0</v>
      </c>
      <c r="AP226" s="7"/>
      <c r="AQ226" s="74"/>
      <c r="AR226" s="99">
        <f>IF(OR(AP226="",AQ226=""),0,IFERROR(INDEX(#REF!,MATCH(AP226,#REF!,0))*AQ226,0))</f>
        <v>0</v>
      </c>
      <c r="AS226" s="7"/>
      <c r="AT226" s="74"/>
      <c r="AU226" s="99">
        <f>IF(OR(AS226="",AT226=""),0,IFERROR(INDEX(#REF!,MATCH(AS226,#REF!,0))*AT226,0))</f>
        <v>0</v>
      </c>
      <c r="AV226" s="7"/>
      <c r="AW226" s="74"/>
      <c r="AX226" s="99">
        <f>IF(OR(AV226="",AW226=""),0,IFERROR(INDEX(#REF!,MATCH(AV226,#REF!,0))*AW226,0))</f>
        <v>0</v>
      </c>
      <c r="AY226" s="7"/>
      <c r="AZ226" s="77"/>
      <c r="BA226" s="99">
        <f>IF(OR(AY226="",AZ226=""),0,IFERROR(INDEX(#REF!,MATCH(AY226,#REF!,0))*AZ226,0))</f>
        <v>0</v>
      </c>
      <c r="BB226" s="100">
        <f t="shared" si="34"/>
        <v>0</v>
      </c>
      <c r="BC226" s="110" t="str">
        <f t="shared" si="35"/>
        <v/>
      </c>
      <c r="BD226" s="62"/>
    </row>
    <row r="227" spans="1:56" ht="19.5" customHeight="1" x14ac:dyDescent="0.45">
      <c r="A227" s="104" t="str">
        <f t="shared" si="36"/>
        <v/>
      </c>
      <c r="B227" s="5"/>
      <c r="C227" s="109"/>
      <c r="D227" s="107"/>
      <c r="E227" s="6"/>
      <c r="F227" s="85"/>
      <c r="G227" s="85"/>
      <c r="H227" s="104" t="str">
        <f t="shared" si="28"/>
        <v/>
      </c>
      <c r="I227" s="103" t="str">
        <f>IFERROR(INDEX(#REF!,MATCH(E227,#REF!,0)),"")</f>
        <v/>
      </c>
      <c r="J227" s="6"/>
      <c r="K227" s="103" t="str">
        <f t="shared" si="29"/>
        <v/>
      </c>
      <c r="L227" s="8"/>
      <c r="M227" s="102" t="str">
        <f t="shared" si="30"/>
        <v/>
      </c>
      <c r="N227" s="9"/>
      <c r="O227" s="103" t="str">
        <f t="shared" si="31"/>
        <v/>
      </c>
      <c r="P227" s="6"/>
      <c r="Q227" s="7"/>
      <c r="R227" s="10"/>
      <c r="S227" s="29" t="str">
        <f t="shared" ca="1" si="32"/>
        <v/>
      </c>
      <c r="T227" s="7"/>
      <c r="U227" s="74"/>
      <c r="V227" s="101">
        <f>IF(OR(T227="",U227=""),0,IFERROR(INDEX(#REF!,MATCH(T227,#REF!,0))*U227,0))</f>
        <v>0</v>
      </c>
      <c r="W227" s="7"/>
      <c r="X227" s="74"/>
      <c r="Y227" s="101">
        <f>IF(OR(W227="",X227=""),0,IFERROR(INDEX(#REF!,MATCH(W227,#REF!,0))*X227,0))</f>
        <v>0</v>
      </c>
      <c r="Z227" s="7"/>
      <c r="AA227" s="74"/>
      <c r="AB227" s="101">
        <f>IF(OR(Z227="",AA227=""),0,IFERROR(INDEX(#REF!,MATCH(Z227,#REF!,0))*AA227,0))</f>
        <v>0</v>
      </c>
      <c r="AC227" s="7"/>
      <c r="AD227" s="74"/>
      <c r="AE227" s="101">
        <f>IF(OR(AC227="",AD227=""),0,IFERROR(INDEX(#REF!,MATCH(AC227,#REF!,0))*AD227,0))</f>
        <v>0</v>
      </c>
      <c r="AF227" s="7"/>
      <c r="AG227" s="74"/>
      <c r="AH227" s="101">
        <f>IF(OR(AF227="",AG227=""),0,IFERROR(INDEX(#REF!,MATCH(AF227,#REF!,0))*AG227,0))</f>
        <v>0</v>
      </c>
      <c r="AI227" s="7"/>
      <c r="AJ227" s="74"/>
      <c r="AK227" s="101">
        <f>IF(OR(AI227="",AJ227=""),0,IFERROR(INDEX(#REF!,MATCH(AI227,#REF!,0))*AJ227,0))</f>
        <v>0</v>
      </c>
      <c r="AL227" s="101">
        <f t="shared" si="33"/>
        <v>0</v>
      </c>
      <c r="AM227" s="7"/>
      <c r="AN227" s="72"/>
      <c r="AO227" s="99">
        <f>IF(OR(AM227="",AN227=""),0,IFERROR(INDEX(#REF!,MATCH(AM227,#REF!,0))*AN227,0))</f>
        <v>0</v>
      </c>
      <c r="AP227" s="7"/>
      <c r="AQ227" s="74"/>
      <c r="AR227" s="99">
        <f>IF(OR(AP227="",AQ227=""),0,IFERROR(INDEX(#REF!,MATCH(AP227,#REF!,0))*AQ227,0))</f>
        <v>0</v>
      </c>
      <c r="AS227" s="7"/>
      <c r="AT227" s="74"/>
      <c r="AU227" s="99">
        <f>IF(OR(AS227="",AT227=""),0,IFERROR(INDEX(#REF!,MATCH(AS227,#REF!,0))*AT227,0))</f>
        <v>0</v>
      </c>
      <c r="AV227" s="7"/>
      <c r="AW227" s="74"/>
      <c r="AX227" s="99">
        <f>IF(OR(AV227="",AW227=""),0,IFERROR(INDEX(#REF!,MATCH(AV227,#REF!,0))*AW227,0))</f>
        <v>0</v>
      </c>
      <c r="AY227" s="7"/>
      <c r="AZ227" s="77"/>
      <c r="BA227" s="99">
        <f>IF(OR(AY227="",AZ227=""),0,IFERROR(INDEX(#REF!,MATCH(AY227,#REF!,0))*AZ227,0))</f>
        <v>0</v>
      </c>
      <c r="BB227" s="100">
        <f t="shared" si="34"/>
        <v>0</v>
      </c>
      <c r="BC227" s="110" t="str">
        <f t="shared" si="35"/>
        <v/>
      </c>
      <c r="BD227" s="62"/>
    </row>
    <row r="228" spans="1:56" ht="19.5" customHeight="1" x14ac:dyDescent="0.45">
      <c r="A228" s="104" t="str">
        <f t="shared" si="36"/>
        <v/>
      </c>
      <c r="B228" s="5"/>
      <c r="C228" s="109"/>
      <c r="D228" s="107"/>
      <c r="E228" s="6"/>
      <c r="F228" s="85"/>
      <c r="G228" s="85"/>
      <c r="H228" s="104" t="str">
        <f t="shared" si="28"/>
        <v/>
      </c>
      <c r="I228" s="103" t="str">
        <f>IFERROR(INDEX(#REF!,MATCH(E228,#REF!,0)),"")</f>
        <v/>
      </c>
      <c r="J228" s="6"/>
      <c r="K228" s="103" t="str">
        <f t="shared" si="29"/>
        <v/>
      </c>
      <c r="L228" s="8"/>
      <c r="M228" s="102" t="str">
        <f t="shared" si="30"/>
        <v/>
      </c>
      <c r="N228" s="9"/>
      <c r="O228" s="103" t="str">
        <f t="shared" si="31"/>
        <v/>
      </c>
      <c r="P228" s="6"/>
      <c r="Q228" s="7"/>
      <c r="R228" s="10"/>
      <c r="S228" s="29" t="str">
        <f t="shared" ca="1" si="32"/>
        <v/>
      </c>
      <c r="T228" s="7"/>
      <c r="U228" s="74"/>
      <c r="V228" s="101">
        <f>IF(OR(T228="",U228=""),0,IFERROR(INDEX(#REF!,MATCH(T228,#REF!,0))*U228,0))</f>
        <v>0</v>
      </c>
      <c r="W228" s="7"/>
      <c r="X228" s="74"/>
      <c r="Y228" s="101">
        <f>IF(OR(W228="",X228=""),0,IFERROR(INDEX(#REF!,MATCH(W228,#REF!,0))*X228,0))</f>
        <v>0</v>
      </c>
      <c r="Z228" s="7"/>
      <c r="AA228" s="74"/>
      <c r="AB228" s="101">
        <f>IF(OR(Z228="",AA228=""),0,IFERROR(INDEX(#REF!,MATCH(Z228,#REF!,0))*AA228,0))</f>
        <v>0</v>
      </c>
      <c r="AC228" s="7"/>
      <c r="AD228" s="74"/>
      <c r="AE228" s="101">
        <f>IF(OR(AC228="",AD228=""),0,IFERROR(INDEX(#REF!,MATCH(AC228,#REF!,0))*AD228,0))</f>
        <v>0</v>
      </c>
      <c r="AF228" s="7"/>
      <c r="AG228" s="74"/>
      <c r="AH228" s="101">
        <f>IF(OR(AF228="",AG228=""),0,IFERROR(INDEX(#REF!,MATCH(AF228,#REF!,0))*AG228,0))</f>
        <v>0</v>
      </c>
      <c r="AI228" s="7"/>
      <c r="AJ228" s="74"/>
      <c r="AK228" s="101">
        <f>IF(OR(AI228="",AJ228=""),0,IFERROR(INDEX(#REF!,MATCH(AI228,#REF!,0))*AJ228,0))</f>
        <v>0</v>
      </c>
      <c r="AL228" s="101">
        <f t="shared" si="33"/>
        <v>0</v>
      </c>
      <c r="AM228" s="7"/>
      <c r="AN228" s="72"/>
      <c r="AO228" s="99">
        <f>IF(OR(AM228="",AN228=""),0,IFERROR(INDEX(#REF!,MATCH(AM228,#REF!,0))*AN228,0))</f>
        <v>0</v>
      </c>
      <c r="AP228" s="7"/>
      <c r="AQ228" s="74"/>
      <c r="AR228" s="99">
        <f>IF(OR(AP228="",AQ228=""),0,IFERROR(INDEX(#REF!,MATCH(AP228,#REF!,0))*AQ228,0))</f>
        <v>0</v>
      </c>
      <c r="AS228" s="7"/>
      <c r="AT228" s="74"/>
      <c r="AU228" s="99">
        <f>IF(OR(AS228="",AT228=""),0,IFERROR(INDEX(#REF!,MATCH(AS228,#REF!,0))*AT228,0))</f>
        <v>0</v>
      </c>
      <c r="AV228" s="7"/>
      <c r="AW228" s="74"/>
      <c r="AX228" s="99">
        <f>IF(OR(AV228="",AW228=""),0,IFERROR(INDEX(#REF!,MATCH(AV228,#REF!,0))*AW228,0))</f>
        <v>0</v>
      </c>
      <c r="AY228" s="7"/>
      <c r="AZ228" s="77"/>
      <c r="BA228" s="99">
        <f>IF(OR(AY228="",AZ228=""),0,IFERROR(INDEX(#REF!,MATCH(AY228,#REF!,0))*AZ228,0))</f>
        <v>0</v>
      </c>
      <c r="BB228" s="100">
        <f t="shared" si="34"/>
        <v>0</v>
      </c>
      <c r="BC228" s="110" t="str">
        <f t="shared" si="35"/>
        <v/>
      </c>
      <c r="BD228" s="62"/>
    </row>
    <row r="229" spans="1:56" ht="19.5" customHeight="1" x14ac:dyDescent="0.45">
      <c r="A229" s="104" t="str">
        <f t="shared" si="36"/>
        <v/>
      </c>
      <c r="B229" s="5"/>
      <c r="C229" s="109"/>
      <c r="D229" s="107"/>
      <c r="E229" s="6"/>
      <c r="F229" s="85"/>
      <c r="G229" s="85"/>
      <c r="H229" s="104" t="str">
        <f t="shared" si="28"/>
        <v/>
      </c>
      <c r="I229" s="103" t="str">
        <f>IFERROR(INDEX(#REF!,MATCH(E229,#REF!,0)),"")</f>
        <v/>
      </c>
      <c r="J229" s="6"/>
      <c r="K229" s="103" t="str">
        <f t="shared" si="29"/>
        <v/>
      </c>
      <c r="L229" s="8"/>
      <c r="M229" s="102" t="str">
        <f t="shared" si="30"/>
        <v/>
      </c>
      <c r="N229" s="9"/>
      <c r="O229" s="103" t="str">
        <f t="shared" si="31"/>
        <v/>
      </c>
      <c r="P229" s="6"/>
      <c r="Q229" s="7"/>
      <c r="R229" s="10"/>
      <c r="S229" s="29" t="str">
        <f t="shared" ca="1" si="32"/>
        <v/>
      </c>
      <c r="T229" s="7"/>
      <c r="U229" s="74"/>
      <c r="V229" s="101">
        <f>IF(OR(T229="",U229=""),0,IFERROR(INDEX(#REF!,MATCH(T229,#REF!,0))*U229,0))</f>
        <v>0</v>
      </c>
      <c r="W229" s="7"/>
      <c r="X229" s="74"/>
      <c r="Y229" s="101">
        <f>IF(OR(W229="",X229=""),0,IFERROR(INDEX(#REF!,MATCH(W229,#REF!,0))*X229,0))</f>
        <v>0</v>
      </c>
      <c r="Z229" s="7"/>
      <c r="AA229" s="74"/>
      <c r="AB229" s="101">
        <f>IF(OR(Z229="",AA229=""),0,IFERROR(INDEX(#REF!,MATCH(Z229,#REF!,0))*AA229,0))</f>
        <v>0</v>
      </c>
      <c r="AC229" s="7"/>
      <c r="AD229" s="74"/>
      <c r="AE229" s="101">
        <f>IF(OR(AC229="",AD229=""),0,IFERROR(INDEX(#REF!,MATCH(AC229,#REF!,0))*AD229,0))</f>
        <v>0</v>
      </c>
      <c r="AF229" s="7"/>
      <c r="AG229" s="74"/>
      <c r="AH229" s="101">
        <f>IF(OR(AF229="",AG229=""),0,IFERROR(INDEX(#REF!,MATCH(AF229,#REF!,0))*AG229,0))</f>
        <v>0</v>
      </c>
      <c r="AI229" s="7"/>
      <c r="AJ229" s="74"/>
      <c r="AK229" s="101">
        <f>IF(OR(AI229="",AJ229=""),0,IFERROR(INDEX(#REF!,MATCH(AI229,#REF!,0))*AJ229,0))</f>
        <v>0</v>
      </c>
      <c r="AL229" s="101">
        <f t="shared" si="33"/>
        <v>0</v>
      </c>
      <c r="AM229" s="7"/>
      <c r="AN229" s="72"/>
      <c r="AO229" s="99">
        <f>IF(OR(AM229="",AN229=""),0,IFERROR(INDEX(#REF!,MATCH(AM229,#REF!,0))*AN229,0))</f>
        <v>0</v>
      </c>
      <c r="AP229" s="7"/>
      <c r="AQ229" s="74"/>
      <c r="AR229" s="99">
        <f>IF(OR(AP229="",AQ229=""),0,IFERROR(INDEX(#REF!,MATCH(AP229,#REF!,0))*AQ229,0))</f>
        <v>0</v>
      </c>
      <c r="AS229" s="7"/>
      <c r="AT229" s="74"/>
      <c r="AU229" s="99">
        <f>IF(OR(AS229="",AT229=""),0,IFERROR(INDEX(#REF!,MATCH(AS229,#REF!,0))*AT229,0))</f>
        <v>0</v>
      </c>
      <c r="AV229" s="7"/>
      <c r="AW229" s="74"/>
      <c r="AX229" s="99">
        <f>IF(OR(AV229="",AW229=""),0,IFERROR(INDEX(#REF!,MATCH(AV229,#REF!,0))*AW229,0))</f>
        <v>0</v>
      </c>
      <c r="AY229" s="7"/>
      <c r="AZ229" s="77"/>
      <c r="BA229" s="99">
        <f>IF(OR(AY229="",AZ229=""),0,IFERROR(INDEX(#REF!,MATCH(AY229,#REF!,0))*AZ229,0))</f>
        <v>0</v>
      </c>
      <c r="BB229" s="100">
        <f t="shared" si="34"/>
        <v>0</v>
      </c>
      <c r="BC229" s="110" t="str">
        <f t="shared" si="35"/>
        <v/>
      </c>
      <c r="BD229" s="62"/>
    </row>
    <row r="230" spans="1:56" ht="19.5" customHeight="1" x14ac:dyDescent="0.45">
      <c r="A230" s="104" t="str">
        <f t="shared" si="36"/>
        <v/>
      </c>
      <c r="B230" s="5"/>
      <c r="C230" s="109"/>
      <c r="D230" s="107"/>
      <c r="E230" s="6"/>
      <c r="F230" s="85"/>
      <c r="G230" s="85"/>
      <c r="H230" s="104" t="str">
        <f t="shared" si="28"/>
        <v/>
      </c>
      <c r="I230" s="103" t="str">
        <f>IFERROR(INDEX(#REF!,MATCH(E230,#REF!,0)),"")</f>
        <v/>
      </c>
      <c r="J230" s="6"/>
      <c r="K230" s="103" t="str">
        <f t="shared" si="29"/>
        <v/>
      </c>
      <c r="L230" s="8"/>
      <c r="M230" s="102" t="str">
        <f t="shared" si="30"/>
        <v/>
      </c>
      <c r="N230" s="9"/>
      <c r="O230" s="103" t="str">
        <f t="shared" si="31"/>
        <v/>
      </c>
      <c r="P230" s="6"/>
      <c r="Q230" s="7"/>
      <c r="R230" s="10"/>
      <c r="S230" s="29" t="str">
        <f t="shared" ca="1" si="32"/>
        <v/>
      </c>
      <c r="T230" s="7"/>
      <c r="U230" s="74"/>
      <c r="V230" s="101">
        <f>IF(OR(T230="",U230=""),0,IFERROR(INDEX(#REF!,MATCH(T230,#REF!,0))*U230,0))</f>
        <v>0</v>
      </c>
      <c r="W230" s="7"/>
      <c r="X230" s="74"/>
      <c r="Y230" s="101">
        <f>IF(OR(W230="",X230=""),0,IFERROR(INDEX(#REF!,MATCH(W230,#REF!,0))*X230,0))</f>
        <v>0</v>
      </c>
      <c r="Z230" s="7"/>
      <c r="AA230" s="74"/>
      <c r="AB230" s="101">
        <f>IF(OR(Z230="",AA230=""),0,IFERROR(INDEX(#REF!,MATCH(Z230,#REF!,0))*AA230,0))</f>
        <v>0</v>
      </c>
      <c r="AC230" s="7"/>
      <c r="AD230" s="74"/>
      <c r="AE230" s="101">
        <f>IF(OR(AC230="",AD230=""),0,IFERROR(INDEX(#REF!,MATCH(AC230,#REF!,0))*AD230,0))</f>
        <v>0</v>
      </c>
      <c r="AF230" s="7"/>
      <c r="AG230" s="74"/>
      <c r="AH230" s="101">
        <f>IF(OR(AF230="",AG230=""),0,IFERROR(INDEX(#REF!,MATCH(AF230,#REF!,0))*AG230,0))</f>
        <v>0</v>
      </c>
      <c r="AI230" s="7"/>
      <c r="AJ230" s="74"/>
      <c r="AK230" s="101">
        <f>IF(OR(AI230="",AJ230=""),0,IFERROR(INDEX(#REF!,MATCH(AI230,#REF!,0))*AJ230,0))</f>
        <v>0</v>
      </c>
      <c r="AL230" s="101">
        <f t="shared" si="33"/>
        <v>0</v>
      </c>
      <c r="AM230" s="7"/>
      <c r="AN230" s="72"/>
      <c r="AO230" s="99">
        <f>IF(OR(AM230="",AN230=""),0,IFERROR(INDEX(#REF!,MATCH(AM230,#REF!,0))*AN230,0))</f>
        <v>0</v>
      </c>
      <c r="AP230" s="7"/>
      <c r="AQ230" s="74"/>
      <c r="AR230" s="99">
        <f>IF(OR(AP230="",AQ230=""),0,IFERROR(INDEX(#REF!,MATCH(AP230,#REF!,0))*AQ230,0))</f>
        <v>0</v>
      </c>
      <c r="AS230" s="7"/>
      <c r="AT230" s="74"/>
      <c r="AU230" s="99">
        <f>IF(OR(AS230="",AT230=""),0,IFERROR(INDEX(#REF!,MATCH(AS230,#REF!,0))*AT230,0))</f>
        <v>0</v>
      </c>
      <c r="AV230" s="7"/>
      <c r="AW230" s="74"/>
      <c r="AX230" s="99">
        <f>IF(OR(AV230="",AW230=""),0,IFERROR(INDEX(#REF!,MATCH(AV230,#REF!,0))*AW230,0))</f>
        <v>0</v>
      </c>
      <c r="AY230" s="7"/>
      <c r="AZ230" s="77"/>
      <c r="BA230" s="99">
        <f>IF(OR(AY230="",AZ230=""),0,IFERROR(INDEX(#REF!,MATCH(AY230,#REF!,0))*AZ230,0))</f>
        <v>0</v>
      </c>
      <c r="BB230" s="100">
        <f t="shared" si="34"/>
        <v>0</v>
      </c>
      <c r="BC230" s="110" t="str">
        <f t="shared" si="35"/>
        <v/>
      </c>
      <c r="BD230" s="62"/>
    </row>
    <row r="231" spans="1:56" ht="19.5" customHeight="1" x14ac:dyDescent="0.45">
      <c r="A231" s="104" t="str">
        <f t="shared" si="36"/>
        <v/>
      </c>
      <c r="B231" s="5"/>
      <c r="C231" s="109"/>
      <c r="D231" s="107"/>
      <c r="E231" s="6"/>
      <c r="F231" s="85"/>
      <c r="G231" s="85"/>
      <c r="H231" s="104" t="str">
        <f t="shared" si="28"/>
        <v/>
      </c>
      <c r="I231" s="103" t="str">
        <f>IFERROR(INDEX(#REF!,MATCH(E231,#REF!,0)),"")</f>
        <v/>
      </c>
      <c r="J231" s="6"/>
      <c r="K231" s="103" t="str">
        <f t="shared" si="29"/>
        <v/>
      </c>
      <c r="L231" s="8"/>
      <c r="M231" s="102" t="str">
        <f t="shared" si="30"/>
        <v/>
      </c>
      <c r="N231" s="9"/>
      <c r="O231" s="103" t="str">
        <f t="shared" si="31"/>
        <v/>
      </c>
      <c r="P231" s="6"/>
      <c r="Q231" s="7"/>
      <c r="R231" s="10"/>
      <c r="S231" s="29" t="str">
        <f t="shared" ca="1" si="32"/>
        <v/>
      </c>
      <c r="T231" s="7"/>
      <c r="U231" s="74"/>
      <c r="V231" s="101">
        <f>IF(OR(T231="",U231=""),0,IFERROR(INDEX(#REF!,MATCH(T231,#REF!,0))*U231,0))</f>
        <v>0</v>
      </c>
      <c r="W231" s="7"/>
      <c r="X231" s="74"/>
      <c r="Y231" s="101">
        <f>IF(OR(W231="",X231=""),0,IFERROR(INDEX(#REF!,MATCH(W231,#REF!,0))*X231,0))</f>
        <v>0</v>
      </c>
      <c r="Z231" s="7"/>
      <c r="AA231" s="74"/>
      <c r="AB231" s="101">
        <f>IF(OR(Z231="",AA231=""),0,IFERROR(INDEX(#REF!,MATCH(Z231,#REF!,0))*AA231,0))</f>
        <v>0</v>
      </c>
      <c r="AC231" s="7"/>
      <c r="AD231" s="74"/>
      <c r="AE231" s="101">
        <f>IF(OR(AC231="",AD231=""),0,IFERROR(INDEX(#REF!,MATCH(AC231,#REF!,0))*AD231,0))</f>
        <v>0</v>
      </c>
      <c r="AF231" s="7"/>
      <c r="AG231" s="74"/>
      <c r="AH231" s="101">
        <f>IF(OR(AF231="",AG231=""),0,IFERROR(INDEX(#REF!,MATCH(AF231,#REF!,0))*AG231,0))</f>
        <v>0</v>
      </c>
      <c r="AI231" s="7"/>
      <c r="AJ231" s="74"/>
      <c r="AK231" s="101">
        <f>IF(OR(AI231="",AJ231=""),0,IFERROR(INDEX(#REF!,MATCH(AI231,#REF!,0))*AJ231,0))</f>
        <v>0</v>
      </c>
      <c r="AL231" s="101">
        <f t="shared" si="33"/>
        <v>0</v>
      </c>
      <c r="AM231" s="7"/>
      <c r="AN231" s="72"/>
      <c r="AO231" s="99">
        <f>IF(OR(AM231="",AN231=""),0,IFERROR(INDEX(#REF!,MATCH(AM231,#REF!,0))*AN231,0))</f>
        <v>0</v>
      </c>
      <c r="AP231" s="7"/>
      <c r="AQ231" s="74"/>
      <c r="AR231" s="99">
        <f>IF(OR(AP231="",AQ231=""),0,IFERROR(INDEX(#REF!,MATCH(AP231,#REF!,0))*AQ231,0))</f>
        <v>0</v>
      </c>
      <c r="AS231" s="7"/>
      <c r="AT231" s="74"/>
      <c r="AU231" s="99">
        <f>IF(OR(AS231="",AT231=""),0,IFERROR(INDEX(#REF!,MATCH(AS231,#REF!,0))*AT231,0))</f>
        <v>0</v>
      </c>
      <c r="AV231" s="7"/>
      <c r="AW231" s="74"/>
      <c r="AX231" s="99">
        <f>IF(OR(AV231="",AW231=""),0,IFERROR(INDEX(#REF!,MATCH(AV231,#REF!,0))*AW231,0))</f>
        <v>0</v>
      </c>
      <c r="AY231" s="7"/>
      <c r="AZ231" s="77"/>
      <c r="BA231" s="99">
        <f>IF(OR(AY231="",AZ231=""),0,IFERROR(INDEX(#REF!,MATCH(AY231,#REF!,0))*AZ231,0))</f>
        <v>0</v>
      </c>
      <c r="BB231" s="100">
        <f t="shared" si="34"/>
        <v>0</v>
      </c>
      <c r="BC231" s="110" t="str">
        <f t="shared" si="35"/>
        <v/>
      </c>
      <c r="BD231" s="62"/>
    </row>
    <row r="232" spans="1:56" ht="19.5" customHeight="1" x14ac:dyDescent="0.45">
      <c r="A232" s="104" t="str">
        <f t="shared" si="36"/>
        <v/>
      </c>
      <c r="B232" s="5"/>
      <c r="C232" s="109"/>
      <c r="D232" s="107"/>
      <c r="E232" s="6"/>
      <c r="F232" s="85"/>
      <c r="G232" s="85"/>
      <c r="H232" s="104" t="str">
        <f t="shared" si="28"/>
        <v/>
      </c>
      <c r="I232" s="103" t="str">
        <f>IFERROR(INDEX(#REF!,MATCH(E232,#REF!,0)),"")</f>
        <v/>
      </c>
      <c r="J232" s="6"/>
      <c r="K232" s="103" t="str">
        <f t="shared" si="29"/>
        <v/>
      </c>
      <c r="L232" s="8"/>
      <c r="M232" s="102" t="str">
        <f t="shared" si="30"/>
        <v/>
      </c>
      <c r="N232" s="9"/>
      <c r="O232" s="103" t="str">
        <f t="shared" si="31"/>
        <v/>
      </c>
      <c r="P232" s="6"/>
      <c r="Q232" s="7"/>
      <c r="R232" s="10"/>
      <c r="S232" s="29" t="str">
        <f t="shared" ca="1" si="32"/>
        <v/>
      </c>
      <c r="T232" s="7"/>
      <c r="U232" s="74"/>
      <c r="V232" s="101">
        <f>IF(OR(T232="",U232=""),0,IFERROR(INDEX(#REF!,MATCH(T232,#REF!,0))*U232,0))</f>
        <v>0</v>
      </c>
      <c r="W232" s="7"/>
      <c r="X232" s="74"/>
      <c r="Y232" s="101">
        <f>IF(OR(W232="",X232=""),0,IFERROR(INDEX(#REF!,MATCH(W232,#REF!,0))*X232,0))</f>
        <v>0</v>
      </c>
      <c r="Z232" s="7"/>
      <c r="AA232" s="74"/>
      <c r="AB232" s="101">
        <f>IF(OR(Z232="",AA232=""),0,IFERROR(INDEX(#REF!,MATCH(Z232,#REF!,0))*AA232,0))</f>
        <v>0</v>
      </c>
      <c r="AC232" s="7"/>
      <c r="AD232" s="74"/>
      <c r="AE232" s="101">
        <f>IF(OR(AC232="",AD232=""),0,IFERROR(INDEX(#REF!,MATCH(AC232,#REF!,0))*AD232,0))</f>
        <v>0</v>
      </c>
      <c r="AF232" s="7"/>
      <c r="AG232" s="74"/>
      <c r="AH232" s="101">
        <f>IF(OR(AF232="",AG232=""),0,IFERROR(INDEX(#REF!,MATCH(AF232,#REF!,0))*AG232,0))</f>
        <v>0</v>
      </c>
      <c r="AI232" s="7"/>
      <c r="AJ232" s="74"/>
      <c r="AK232" s="101">
        <f>IF(OR(AI232="",AJ232=""),0,IFERROR(INDEX(#REF!,MATCH(AI232,#REF!,0))*AJ232,0))</f>
        <v>0</v>
      </c>
      <c r="AL232" s="101">
        <f t="shared" si="33"/>
        <v>0</v>
      </c>
      <c r="AM232" s="7"/>
      <c r="AN232" s="72"/>
      <c r="AO232" s="99">
        <f>IF(OR(AM232="",AN232=""),0,IFERROR(INDEX(#REF!,MATCH(AM232,#REF!,0))*AN232,0))</f>
        <v>0</v>
      </c>
      <c r="AP232" s="7"/>
      <c r="AQ232" s="74"/>
      <c r="AR232" s="99">
        <f>IF(OR(AP232="",AQ232=""),0,IFERROR(INDEX(#REF!,MATCH(AP232,#REF!,0))*AQ232,0))</f>
        <v>0</v>
      </c>
      <c r="AS232" s="7"/>
      <c r="AT232" s="74"/>
      <c r="AU232" s="99">
        <f>IF(OR(AS232="",AT232=""),0,IFERROR(INDEX(#REF!,MATCH(AS232,#REF!,0))*AT232,0))</f>
        <v>0</v>
      </c>
      <c r="AV232" s="7"/>
      <c r="AW232" s="74"/>
      <c r="AX232" s="99">
        <f>IF(OR(AV232="",AW232=""),0,IFERROR(INDEX(#REF!,MATCH(AV232,#REF!,0))*AW232,0))</f>
        <v>0</v>
      </c>
      <c r="AY232" s="7"/>
      <c r="AZ232" s="77"/>
      <c r="BA232" s="99">
        <f>IF(OR(AY232="",AZ232=""),0,IFERROR(INDEX(#REF!,MATCH(AY232,#REF!,0))*AZ232,0))</f>
        <v>0</v>
      </c>
      <c r="BB232" s="100">
        <f t="shared" si="34"/>
        <v>0</v>
      </c>
      <c r="BC232" s="110" t="str">
        <f t="shared" si="35"/>
        <v/>
      </c>
      <c r="BD232" s="62"/>
    </row>
    <row r="233" spans="1:56" ht="19.5" customHeight="1" x14ac:dyDescent="0.45">
      <c r="A233" s="104" t="str">
        <f t="shared" si="36"/>
        <v/>
      </c>
      <c r="B233" s="5"/>
      <c r="C233" s="109"/>
      <c r="D233" s="107"/>
      <c r="E233" s="6"/>
      <c r="F233" s="85"/>
      <c r="G233" s="85"/>
      <c r="H233" s="104" t="str">
        <f t="shared" si="28"/>
        <v/>
      </c>
      <c r="I233" s="103" t="str">
        <f>IFERROR(INDEX(#REF!,MATCH(E233,#REF!,0)),"")</f>
        <v/>
      </c>
      <c r="J233" s="6"/>
      <c r="K233" s="103" t="str">
        <f t="shared" si="29"/>
        <v/>
      </c>
      <c r="L233" s="8"/>
      <c r="M233" s="102" t="str">
        <f t="shared" si="30"/>
        <v/>
      </c>
      <c r="N233" s="9"/>
      <c r="O233" s="103" t="str">
        <f t="shared" si="31"/>
        <v/>
      </c>
      <c r="P233" s="6"/>
      <c r="Q233" s="7"/>
      <c r="R233" s="10"/>
      <c r="S233" s="29" t="str">
        <f t="shared" ca="1" si="32"/>
        <v/>
      </c>
      <c r="T233" s="7"/>
      <c r="U233" s="74"/>
      <c r="V233" s="101">
        <f>IF(OR(T233="",U233=""),0,IFERROR(INDEX(#REF!,MATCH(T233,#REF!,0))*U233,0))</f>
        <v>0</v>
      </c>
      <c r="W233" s="7"/>
      <c r="X233" s="74"/>
      <c r="Y233" s="101">
        <f>IF(OR(W233="",X233=""),0,IFERROR(INDEX(#REF!,MATCH(W233,#REF!,0))*X233,0))</f>
        <v>0</v>
      </c>
      <c r="Z233" s="7"/>
      <c r="AA233" s="74"/>
      <c r="AB233" s="101">
        <f>IF(OR(Z233="",AA233=""),0,IFERROR(INDEX(#REF!,MATCH(Z233,#REF!,0))*AA233,0))</f>
        <v>0</v>
      </c>
      <c r="AC233" s="7"/>
      <c r="AD233" s="74"/>
      <c r="AE233" s="101">
        <f>IF(OR(AC233="",AD233=""),0,IFERROR(INDEX(#REF!,MATCH(AC233,#REF!,0))*AD233,0))</f>
        <v>0</v>
      </c>
      <c r="AF233" s="7"/>
      <c r="AG233" s="74"/>
      <c r="AH233" s="101">
        <f>IF(OR(AF233="",AG233=""),0,IFERROR(INDEX(#REF!,MATCH(AF233,#REF!,0))*AG233,0))</f>
        <v>0</v>
      </c>
      <c r="AI233" s="7"/>
      <c r="AJ233" s="74"/>
      <c r="AK233" s="101">
        <f>IF(OR(AI233="",AJ233=""),0,IFERROR(INDEX(#REF!,MATCH(AI233,#REF!,0))*AJ233,0))</f>
        <v>0</v>
      </c>
      <c r="AL233" s="101">
        <f t="shared" si="33"/>
        <v>0</v>
      </c>
      <c r="AM233" s="7"/>
      <c r="AN233" s="72"/>
      <c r="AO233" s="99">
        <f>IF(OR(AM233="",AN233=""),0,IFERROR(INDEX(#REF!,MATCH(AM233,#REF!,0))*AN233,0))</f>
        <v>0</v>
      </c>
      <c r="AP233" s="7"/>
      <c r="AQ233" s="74"/>
      <c r="AR233" s="99">
        <f>IF(OR(AP233="",AQ233=""),0,IFERROR(INDEX(#REF!,MATCH(AP233,#REF!,0))*AQ233,0))</f>
        <v>0</v>
      </c>
      <c r="AS233" s="7"/>
      <c r="AT233" s="74"/>
      <c r="AU233" s="99">
        <f>IF(OR(AS233="",AT233=""),0,IFERROR(INDEX(#REF!,MATCH(AS233,#REF!,0))*AT233,0))</f>
        <v>0</v>
      </c>
      <c r="AV233" s="7"/>
      <c r="AW233" s="74"/>
      <c r="AX233" s="99">
        <f>IF(OR(AV233="",AW233=""),0,IFERROR(INDEX(#REF!,MATCH(AV233,#REF!,0))*AW233,0))</f>
        <v>0</v>
      </c>
      <c r="AY233" s="7"/>
      <c r="AZ233" s="77"/>
      <c r="BA233" s="99">
        <f>IF(OR(AY233="",AZ233=""),0,IFERROR(INDEX(#REF!,MATCH(AY233,#REF!,0))*AZ233,0))</f>
        <v>0</v>
      </c>
      <c r="BB233" s="100">
        <f t="shared" si="34"/>
        <v>0</v>
      </c>
      <c r="BC233" s="110" t="str">
        <f t="shared" si="35"/>
        <v/>
      </c>
      <c r="BD233" s="62"/>
    </row>
    <row r="234" spans="1:56" ht="19.5" customHeight="1" x14ac:dyDescent="0.45">
      <c r="A234" s="104" t="str">
        <f t="shared" si="36"/>
        <v/>
      </c>
      <c r="B234" s="5"/>
      <c r="C234" s="109"/>
      <c r="D234" s="107"/>
      <c r="E234" s="6"/>
      <c r="F234" s="85"/>
      <c r="G234" s="85"/>
      <c r="H234" s="104" t="str">
        <f t="shared" si="28"/>
        <v/>
      </c>
      <c r="I234" s="103" t="str">
        <f>IFERROR(INDEX(#REF!,MATCH(E234,#REF!,0)),"")</f>
        <v/>
      </c>
      <c r="J234" s="6"/>
      <c r="K234" s="103" t="str">
        <f t="shared" si="29"/>
        <v/>
      </c>
      <c r="L234" s="8"/>
      <c r="M234" s="102" t="str">
        <f t="shared" si="30"/>
        <v/>
      </c>
      <c r="N234" s="9"/>
      <c r="O234" s="103" t="str">
        <f t="shared" si="31"/>
        <v/>
      </c>
      <c r="P234" s="6"/>
      <c r="Q234" s="7"/>
      <c r="R234" s="10"/>
      <c r="S234" s="29" t="str">
        <f t="shared" ca="1" si="32"/>
        <v/>
      </c>
      <c r="T234" s="7"/>
      <c r="U234" s="74"/>
      <c r="V234" s="101">
        <f>IF(OR(T234="",U234=""),0,IFERROR(INDEX(#REF!,MATCH(T234,#REF!,0))*U234,0))</f>
        <v>0</v>
      </c>
      <c r="W234" s="7"/>
      <c r="X234" s="74"/>
      <c r="Y234" s="101">
        <f>IF(OR(W234="",X234=""),0,IFERROR(INDEX(#REF!,MATCH(W234,#REF!,0))*X234,0))</f>
        <v>0</v>
      </c>
      <c r="Z234" s="7"/>
      <c r="AA234" s="74"/>
      <c r="AB234" s="101">
        <f>IF(OR(Z234="",AA234=""),0,IFERROR(INDEX(#REF!,MATCH(Z234,#REF!,0))*AA234,0))</f>
        <v>0</v>
      </c>
      <c r="AC234" s="7"/>
      <c r="AD234" s="74"/>
      <c r="AE234" s="101">
        <f>IF(OR(AC234="",AD234=""),0,IFERROR(INDEX(#REF!,MATCH(AC234,#REF!,0))*AD234,0))</f>
        <v>0</v>
      </c>
      <c r="AF234" s="7"/>
      <c r="AG234" s="74"/>
      <c r="AH234" s="101">
        <f>IF(OR(AF234="",AG234=""),0,IFERROR(INDEX(#REF!,MATCH(AF234,#REF!,0))*AG234,0))</f>
        <v>0</v>
      </c>
      <c r="AI234" s="7"/>
      <c r="AJ234" s="74"/>
      <c r="AK234" s="101">
        <f>IF(OR(AI234="",AJ234=""),0,IFERROR(INDEX(#REF!,MATCH(AI234,#REF!,0))*AJ234,0))</f>
        <v>0</v>
      </c>
      <c r="AL234" s="101">
        <f t="shared" si="33"/>
        <v>0</v>
      </c>
      <c r="AM234" s="7"/>
      <c r="AN234" s="72"/>
      <c r="AO234" s="99">
        <f>IF(OR(AM234="",AN234=""),0,IFERROR(INDEX(#REF!,MATCH(AM234,#REF!,0))*AN234,0))</f>
        <v>0</v>
      </c>
      <c r="AP234" s="7"/>
      <c r="AQ234" s="74"/>
      <c r="AR234" s="99">
        <f>IF(OR(AP234="",AQ234=""),0,IFERROR(INDEX(#REF!,MATCH(AP234,#REF!,0))*AQ234,0))</f>
        <v>0</v>
      </c>
      <c r="AS234" s="7"/>
      <c r="AT234" s="74"/>
      <c r="AU234" s="99">
        <f>IF(OR(AS234="",AT234=""),0,IFERROR(INDEX(#REF!,MATCH(AS234,#REF!,0))*AT234,0))</f>
        <v>0</v>
      </c>
      <c r="AV234" s="7"/>
      <c r="AW234" s="74"/>
      <c r="AX234" s="99">
        <f>IF(OR(AV234="",AW234=""),0,IFERROR(INDEX(#REF!,MATCH(AV234,#REF!,0))*AW234,0))</f>
        <v>0</v>
      </c>
      <c r="AY234" s="7"/>
      <c r="AZ234" s="77"/>
      <c r="BA234" s="99">
        <f>IF(OR(AY234="",AZ234=""),0,IFERROR(INDEX(#REF!,MATCH(AY234,#REF!,0))*AZ234,0))</f>
        <v>0</v>
      </c>
      <c r="BB234" s="100">
        <f t="shared" si="34"/>
        <v>0</v>
      </c>
      <c r="BC234" s="110" t="str">
        <f t="shared" si="35"/>
        <v/>
      </c>
      <c r="BD234" s="62"/>
    </row>
    <row r="235" spans="1:56" ht="19.5" customHeight="1" x14ac:dyDescent="0.45">
      <c r="A235" s="104" t="str">
        <f t="shared" si="36"/>
        <v/>
      </c>
      <c r="B235" s="5"/>
      <c r="C235" s="109"/>
      <c r="D235" s="107"/>
      <c r="E235" s="6"/>
      <c r="F235" s="85"/>
      <c r="G235" s="85"/>
      <c r="H235" s="104" t="str">
        <f t="shared" si="28"/>
        <v/>
      </c>
      <c r="I235" s="103" t="str">
        <f>IFERROR(INDEX(#REF!,MATCH(E235,#REF!,0)),"")</f>
        <v/>
      </c>
      <c r="J235" s="6"/>
      <c r="K235" s="103" t="str">
        <f t="shared" si="29"/>
        <v/>
      </c>
      <c r="L235" s="8"/>
      <c r="M235" s="102" t="str">
        <f t="shared" si="30"/>
        <v/>
      </c>
      <c r="N235" s="9"/>
      <c r="O235" s="103" t="str">
        <f t="shared" si="31"/>
        <v/>
      </c>
      <c r="P235" s="6"/>
      <c r="Q235" s="7"/>
      <c r="R235" s="10"/>
      <c r="S235" s="29" t="str">
        <f t="shared" ca="1" si="32"/>
        <v/>
      </c>
      <c r="T235" s="7"/>
      <c r="U235" s="74"/>
      <c r="V235" s="101">
        <f>IF(OR(T235="",U235=""),0,IFERROR(INDEX(#REF!,MATCH(T235,#REF!,0))*U235,0))</f>
        <v>0</v>
      </c>
      <c r="W235" s="7"/>
      <c r="X235" s="74"/>
      <c r="Y235" s="101">
        <f>IF(OR(W235="",X235=""),0,IFERROR(INDEX(#REF!,MATCH(W235,#REF!,0))*X235,0))</f>
        <v>0</v>
      </c>
      <c r="Z235" s="7"/>
      <c r="AA235" s="74"/>
      <c r="AB235" s="101">
        <f>IF(OR(Z235="",AA235=""),0,IFERROR(INDEX(#REF!,MATCH(Z235,#REF!,0))*AA235,0))</f>
        <v>0</v>
      </c>
      <c r="AC235" s="7"/>
      <c r="AD235" s="74"/>
      <c r="AE235" s="101">
        <f>IF(OR(AC235="",AD235=""),0,IFERROR(INDEX(#REF!,MATCH(AC235,#REF!,0))*AD235,0))</f>
        <v>0</v>
      </c>
      <c r="AF235" s="7"/>
      <c r="AG235" s="74"/>
      <c r="AH235" s="101">
        <f>IF(OR(AF235="",AG235=""),0,IFERROR(INDEX(#REF!,MATCH(AF235,#REF!,0))*AG235,0))</f>
        <v>0</v>
      </c>
      <c r="AI235" s="7"/>
      <c r="AJ235" s="74"/>
      <c r="AK235" s="101">
        <f>IF(OR(AI235="",AJ235=""),0,IFERROR(INDEX(#REF!,MATCH(AI235,#REF!,0))*AJ235,0))</f>
        <v>0</v>
      </c>
      <c r="AL235" s="101">
        <f t="shared" si="33"/>
        <v>0</v>
      </c>
      <c r="AM235" s="7"/>
      <c r="AN235" s="72"/>
      <c r="AO235" s="99">
        <f>IF(OR(AM235="",AN235=""),0,IFERROR(INDEX(#REF!,MATCH(AM235,#REF!,0))*AN235,0))</f>
        <v>0</v>
      </c>
      <c r="AP235" s="7"/>
      <c r="AQ235" s="74"/>
      <c r="AR235" s="99">
        <f>IF(OR(AP235="",AQ235=""),0,IFERROR(INDEX(#REF!,MATCH(AP235,#REF!,0))*AQ235,0))</f>
        <v>0</v>
      </c>
      <c r="AS235" s="7"/>
      <c r="AT235" s="74"/>
      <c r="AU235" s="99">
        <f>IF(OR(AS235="",AT235=""),0,IFERROR(INDEX(#REF!,MATCH(AS235,#REF!,0))*AT235,0))</f>
        <v>0</v>
      </c>
      <c r="AV235" s="7"/>
      <c r="AW235" s="74"/>
      <c r="AX235" s="99">
        <f>IF(OR(AV235="",AW235=""),0,IFERROR(INDEX(#REF!,MATCH(AV235,#REF!,0))*AW235,0))</f>
        <v>0</v>
      </c>
      <c r="AY235" s="7"/>
      <c r="AZ235" s="77"/>
      <c r="BA235" s="99">
        <f>IF(OR(AY235="",AZ235=""),0,IFERROR(INDEX(#REF!,MATCH(AY235,#REF!,0))*AZ235,0))</f>
        <v>0</v>
      </c>
      <c r="BB235" s="100">
        <f t="shared" si="34"/>
        <v>0</v>
      </c>
      <c r="BC235" s="110" t="str">
        <f t="shared" si="35"/>
        <v/>
      </c>
      <c r="BD235" s="62"/>
    </row>
    <row r="236" spans="1:56" ht="19.5" customHeight="1" x14ac:dyDescent="0.45">
      <c r="A236" s="104" t="str">
        <f t="shared" si="36"/>
        <v/>
      </c>
      <c r="B236" s="5"/>
      <c r="C236" s="109"/>
      <c r="D236" s="107"/>
      <c r="E236" s="6"/>
      <c r="F236" s="85"/>
      <c r="G236" s="85"/>
      <c r="H236" s="104" t="str">
        <f t="shared" si="28"/>
        <v/>
      </c>
      <c r="I236" s="103" t="str">
        <f>IFERROR(INDEX(#REF!,MATCH(E236,#REF!,0)),"")</f>
        <v/>
      </c>
      <c r="J236" s="6"/>
      <c r="K236" s="103" t="str">
        <f t="shared" si="29"/>
        <v/>
      </c>
      <c r="L236" s="8"/>
      <c r="M236" s="102" t="str">
        <f t="shared" si="30"/>
        <v/>
      </c>
      <c r="N236" s="9"/>
      <c r="O236" s="103" t="str">
        <f t="shared" si="31"/>
        <v/>
      </c>
      <c r="P236" s="6"/>
      <c r="Q236" s="7"/>
      <c r="R236" s="10"/>
      <c r="S236" s="29" t="str">
        <f t="shared" ca="1" si="32"/>
        <v/>
      </c>
      <c r="T236" s="7"/>
      <c r="U236" s="74"/>
      <c r="V236" s="101">
        <f>IF(OR(T236="",U236=""),0,IFERROR(INDEX(#REF!,MATCH(T236,#REF!,0))*U236,0))</f>
        <v>0</v>
      </c>
      <c r="W236" s="7"/>
      <c r="X236" s="74"/>
      <c r="Y236" s="101">
        <f>IF(OR(W236="",X236=""),0,IFERROR(INDEX(#REF!,MATCH(W236,#REF!,0))*X236,0))</f>
        <v>0</v>
      </c>
      <c r="Z236" s="7"/>
      <c r="AA236" s="74"/>
      <c r="AB236" s="101">
        <f>IF(OR(Z236="",AA236=""),0,IFERROR(INDEX(#REF!,MATCH(Z236,#REF!,0))*AA236,0))</f>
        <v>0</v>
      </c>
      <c r="AC236" s="7"/>
      <c r="AD236" s="74"/>
      <c r="AE236" s="101">
        <f>IF(OR(AC236="",AD236=""),0,IFERROR(INDEX(#REF!,MATCH(AC236,#REF!,0))*AD236,0))</f>
        <v>0</v>
      </c>
      <c r="AF236" s="7"/>
      <c r="AG236" s="74"/>
      <c r="AH236" s="101">
        <f>IF(OR(AF236="",AG236=""),0,IFERROR(INDEX(#REF!,MATCH(AF236,#REF!,0))*AG236,0))</f>
        <v>0</v>
      </c>
      <c r="AI236" s="7"/>
      <c r="AJ236" s="74"/>
      <c r="AK236" s="101">
        <f>IF(OR(AI236="",AJ236=""),0,IFERROR(INDEX(#REF!,MATCH(AI236,#REF!,0))*AJ236,0))</f>
        <v>0</v>
      </c>
      <c r="AL236" s="101">
        <f t="shared" si="33"/>
        <v>0</v>
      </c>
      <c r="AM236" s="7"/>
      <c r="AN236" s="72"/>
      <c r="AO236" s="99">
        <f>IF(OR(AM236="",AN236=""),0,IFERROR(INDEX(#REF!,MATCH(AM236,#REF!,0))*AN236,0))</f>
        <v>0</v>
      </c>
      <c r="AP236" s="7"/>
      <c r="AQ236" s="74"/>
      <c r="AR236" s="99">
        <f>IF(OR(AP236="",AQ236=""),0,IFERROR(INDEX(#REF!,MATCH(AP236,#REF!,0))*AQ236,0))</f>
        <v>0</v>
      </c>
      <c r="AS236" s="7"/>
      <c r="AT236" s="74"/>
      <c r="AU236" s="99">
        <f>IF(OR(AS236="",AT236=""),0,IFERROR(INDEX(#REF!,MATCH(AS236,#REF!,0))*AT236,0))</f>
        <v>0</v>
      </c>
      <c r="AV236" s="7"/>
      <c r="AW236" s="74"/>
      <c r="AX236" s="99">
        <f>IF(OR(AV236="",AW236=""),0,IFERROR(INDEX(#REF!,MATCH(AV236,#REF!,0))*AW236,0))</f>
        <v>0</v>
      </c>
      <c r="AY236" s="7"/>
      <c r="AZ236" s="77"/>
      <c r="BA236" s="99">
        <f>IF(OR(AY236="",AZ236=""),0,IFERROR(INDEX(#REF!,MATCH(AY236,#REF!,0))*AZ236,0))</f>
        <v>0</v>
      </c>
      <c r="BB236" s="100">
        <f t="shared" si="34"/>
        <v>0</v>
      </c>
      <c r="BC236" s="110" t="str">
        <f t="shared" si="35"/>
        <v/>
      </c>
      <c r="BD236" s="62"/>
    </row>
    <row r="237" spans="1:56" ht="19.5" customHeight="1" x14ac:dyDescent="0.45">
      <c r="A237" s="104" t="str">
        <f t="shared" si="36"/>
        <v/>
      </c>
      <c r="B237" s="5"/>
      <c r="C237" s="109"/>
      <c r="D237" s="107"/>
      <c r="E237" s="6"/>
      <c r="F237" s="85"/>
      <c r="G237" s="85"/>
      <c r="H237" s="104" t="str">
        <f t="shared" si="28"/>
        <v/>
      </c>
      <c r="I237" s="103" t="str">
        <f>IFERROR(INDEX(#REF!,MATCH(E237,#REF!,0)),"")</f>
        <v/>
      </c>
      <c r="J237" s="6"/>
      <c r="K237" s="103" t="str">
        <f t="shared" si="29"/>
        <v/>
      </c>
      <c r="L237" s="8"/>
      <c r="M237" s="102" t="str">
        <f t="shared" si="30"/>
        <v/>
      </c>
      <c r="N237" s="9"/>
      <c r="O237" s="103" t="str">
        <f t="shared" si="31"/>
        <v/>
      </c>
      <c r="P237" s="6"/>
      <c r="Q237" s="7"/>
      <c r="R237" s="10"/>
      <c r="S237" s="29" t="str">
        <f t="shared" ca="1" si="32"/>
        <v/>
      </c>
      <c r="T237" s="7"/>
      <c r="U237" s="74"/>
      <c r="V237" s="101">
        <f>IF(OR(T237="",U237=""),0,IFERROR(INDEX(#REF!,MATCH(T237,#REF!,0))*U237,0))</f>
        <v>0</v>
      </c>
      <c r="W237" s="7"/>
      <c r="X237" s="74"/>
      <c r="Y237" s="101">
        <f>IF(OR(W237="",X237=""),0,IFERROR(INDEX(#REF!,MATCH(W237,#REF!,0))*X237,0))</f>
        <v>0</v>
      </c>
      <c r="Z237" s="7"/>
      <c r="AA237" s="74"/>
      <c r="AB237" s="101">
        <f>IF(OR(Z237="",AA237=""),0,IFERROR(INDEX(#REF!,MATCH(Z237,#REF!,0))*AA237,0))</f>
        <v>0</v>
      </c>
      <c r="AC237" s="7"/>
      <c r="AD237" s="74"/>
      <c r="AE237" s="101">
        <f>IF(OR(AC237="",AD237=""),0,IFERROR(INDEX(#REF!,MATCH(AC237,#REF!,0))*AD237,0))</f>
        <v>0</v>
      </c>
      <c r="AF237" s="7"/>
      <c r="AG237" s="74"/>
      <c r="AH237" s="101">
        <f>IF(OR(AF237="",AG237=""),0,IFERROR(INDEX(#REF!,MATCH(AF237,#REF!,0))*AG237,0))</f>
        <v>0</v>
      </c>
      <c r="AI237" s="7"/>
      <c r="AJ237" s="74"/>
      <c r="AK237" s="101">
        <f>IF(OR(AI237="",AJ237=""),0,IFERROR(INDEX(#REF!,MATCH(AI237,#REF!,0))*AJ237,0))</f>
        <v>0</v>
      </c>
      <c r="AL237" s="101">
        <f t="shared" si="33"/>
        <v>0</v>
      </c>
      <c r="AM237" s="7"/>
      <c r="AN237" s="72"/>
      <c r="AO237" s="99">
        <f>IF(OR(AM237="",AN237=""),0,IFERROR(INDEX(#REF!,MATCH(AM237,#REF!,0))*AN237,0))</f>
        <v>0</v>
      </c>
      <c r="AP237" s="7"/>
      <c r="AQ237" s="74"/>
      <c r="AR237" s="99">
        <f>IF(OR(AP237="",AQ237=""),0,IFERROR(INDEX(#REF!,MATCH(AP237,#REF!,0))*AQ237,0))</f>
        <v>0</v>
      </c>
      <c r="AS237" s="7"/>
      <c r="AT237" s="74"/>
      <c r="AU237" s="99">
        <f>IF(OR(AS237="",AT237=""),0,IFERROR(INDEX(#REF!,MATCH(AS237,#REF!,0))*AT237,0))</f>
        <v>0</v>
      </c>
      <c r="AV237" s="7"/>
      <c r="AW237" s="74"/>
      <c r="AX237" s="99">
        <f>IF(OR(AV237="",AW237=""),0,IFERROR(INDEX(#REF!,MATCH(AV237,#REF!,0))*AW237,0))</f>
        <v>0</v>
      </c>
      <c r="AY237" s="7"/>
      <c r="AZ237" s="77"/>
      <c r="BA237" s="99">
        <f>IF(OR(AY237="",AZ237=""),0,IFERROR(INDEX(#REF!,MATCH(AY237,#REF!,0))*AZ237,0))</f>
        <v>0</v>
      </c>
      <c r="BB237" s="100">
        <f t="shared" si="34"/>
        <v>0</v>
      </c>
      <c r="BC237" s="110" t="str">
        <f t="shared" si="35"/>
        <v/>
      </c>
      <c r="BD237" s="62"/>
    </row>
    <row r="238" spans="1:56" ht="19.5" customHeight="1" x14ac:dyDescent="0.45">
      <c r="A238" s="104" t="str">
        <f t="shared" si="36"/>
        <v/>
      </c>
      <c r="B238" s="5"/>
      <c r="C238" s="109"/>
      <c r="D238" s="107"/>
      <c r="E238" s="6"/>
      <c r="F238" s="85"/>
      <c r="G238" s="85"/>
      <c r="H238" s="104" t="str">
        <f t="shared" si="28"/>
        <v/>
      </c>
      <c r="I238" s="103" t="str">
        <f>IFERROR(INDEX(#REF!,MATCH(E238,#REF!,0)),"")</f>
        <v/>
      </c>
      <c r="J238" s="6"/>
      <c r="K238" s="103" t="str">
        <f t="shared" si="29"/>
        <v/>
      </c>
      <c r="L238" s="8"/>
      <c r="M238" s="102" t="str">
        <f t="shared" si="30"/>
        <v/>
      </c>
      <c r="N238" s="9"/>
      <c r="O238" s="103" t="str">
        <f t="shared" si="31"/>
        <v/>
      </c>
      <c r="P238" s="6"/>
      <c r="Q238" s="7"/>
      <c r="R238" s="10"/>
      <c r="S238" s="29" t="str">
        <f t="shared" ca="1" si="32"/>
        <v/>
      </c>
      <c r="T238" s="7"/>
      <c r="U238" s="74"/>
      <c r="V238" s="101">
        <f>IF(OR(T238="",U238=""),0,IFERROR(INDEX(#REF!,MATCH(T238,#REF!,0))*U238,0))</f>
        <v>0</v>
      </c>
      <c r="W238" s="7"/>
      <c r="X238" s="74"/>
      <c r="Y238" s="101">
        <f>IF(OR(W238="",X238=""),0,IFERROR(INDEX(#REF!,MATCH(W238,#REF!,0))*X238,0))</f>
        <v>0</v>
      </c>
      <c r="Z238" s="7"/>
      <c r="AA238" s="74"/>
      <c r="AB238" s="101">
        <f>IF(OR(Z238="",AA238=""),0,IFERROR(INDEX(#REF!,MATCH(Z238,#REF!,0))*AA238,0))</f>
        <v>0</v>
      </c>
      <c r="AC238" s="7"/>
      <c r="AD238" s="74"/>
      <c r="AE238" s="101">
        <f>IF(OR(AC238="",AD238=""),0,IFERROR(INDEX(#REF!,MATCH(AC238,#REF!,0))*AD238,0))</f>
        <v>0</v>
      </c>
      <c r="AF238" s="7"/>
      <c r="AG238" s="74"/>
      <c r="AH238" s="101">
        <f>IF(OR(AF238="",AG238=""),0,IFERROR(INDEX(#REF!,MATCH(AF238,#REF!,0))*AG238,0))</f>
        <v>0</v>
      </c>
      <c r="AI238" s="7"/>
      <c r="AJ238" s="74"/>
      <c r="AK238" s="101">
        <f>IF(OR(AI238="",AJ238=""),0,IFERROR(INDEX(#REF!,MATCH(AI238,#REF!,0))*AJ238,0))</f>
        <v>0</v>
      </c>
      <c r="AL238" s="101">
        <f t="shared" si="33"/>
        <v>0</v>
      </c>
      <c r="AM238" s="7"/>
      <c r="AN238" s="72"/>
      <c r="AO238" s="99">
        <f>IF(OR(AM238="",AN238=""),0,IFERROR(INDEX(#REF!,MATCH(AM238,#REF!,0))*AN238,0))</f>
        <v>0</v>
      </c>
      <c r="AP238" s="7"/>
      <c r="AQ238" s="74"/>
      <c r="AR238" s="99">
        <f>IF(OR(AP238="",AQ238=""),0,IFERROR(INDEX(#REF!,MATCH(AP238,#REF!,0))*AQ238,0))</f>
        <v>0</v>
      </c>
      <c r="AS238" s="7"/>
      <c r="AT238" s="74"/>
      <c r="AU238" s="99">
        <f>IF(OR(AS238="",AT238=""),0,IFERROR(INDEX(#REF!,MATCH(AS238,#REF!,0))*AT238,0))</f>
        <v>0</v>
      </c>
      <c r="AV238" s="7"/>
      <c r="AW238" s="74"/>
      <c r="AX238" s="99">
        <f>IF(OR(AV238="",AW238=""),0,IFERROR(INDEX(#REF!,MATCH(AV238,#REF!,0))*AW238,0))</f>
        <v>0</v>
      </c>
      <c r="AY238" s="7"/>
      <c r="AZ238" s="77"/>
      <c r="BA238" s="99">
        <f>IF(OR(AY238="",AZ238=""),0,IFERROR(INDEX(#REF!,MATCH(AY238,#REF!,0))*AZ238,0))</f>
        <v>0</v>
      </c>
      <c r="BB238" s="100">
        <f t="shared" si="34"/>
        <v>0</v>
      </c>
      <c r="BC238" s="110" t="str">
        <f t="shared" si="35"/>
        <v/>
      </c>
      <c r="BD238" s="62"/>
    </row>
    <row r="239" spans="1:56" ht="19.5" customHeight="1" x14ac:dyDescent="0.45">
      <c r="A239" s="104" t="str">
        <f t="shared" si="36"/>
        <v/>
      </c>
      <c r="B239" s="5"/>
      <c r="C239" s="109"/>
      <c r="D239" s="107"/>
      <c r="E239" s="6"/>
      <c r="F239" s="85"/>
      <c r="G239" s="85"/>
      <c r="H239" s="104" t="str">
        <f t="shared" si="28"/>
        <v/>
      </c>
      <c r="I239" s="103" t="str">
        <f>IFERROR(INDEX(#REF!,MATCH(E239,#REF!,0)),"")</f>
        <v/>
      </c>
      <c r="J239" s="6"/>
      <c r="K239" s="103" t="str">
        <f t="shared" si="29"/>
        <v/>
      </c>
      <c r="L239" s="8"/>
      <c r="M239" s="102" t="str">
        <f t="shared" si="30"/>
        <v/>
      </c>
      <c r="N239" s="9"/>
      <c r="O239" s="103" t="str">
        <f t="shared" si="31"/>
        <v/>
      </c>
      <c r="P239" s="6"/>
      <c r="Q239" s="7"/>
      <c r="R239" s="10"/>
      <c r="S239" s="29" t="str">
        <f t="shared" ca="1" si="32"/>
        <v/>
      </c>
      <c r="T239" s="7"/>
      <c r="U239" s="74"/>
      <c r="V239" s="101">
        <f>IF(OR(T239="",U239=""),0,IFERROR(INDEX(#REF!,MATCH(T239,#REF!,0))*U239,0))</f>
        <v>0</v>
      </c>
      <c r="W239" s="7"/>
      <c r="X239" s="74"/>
      <c r="Y239" s="101">
        <f>IF(OR(W239="",X239=""),0,IFERROR(INDEX(#REF!,MATCH(W239,#REF!,0))*X239,0))</f>
        <v>0</v>
      </c>
      <c r="Z239" s="7"/>
      <c r="AA239" s="74"/>
      <c r="AB239" s="101">
        <f>IF(OR(Z239="",AA239=""),0,IFERROR(INDEX(#REF!,MATCH(Z239,#REF!,0))*AA239,0))</f>
        <v>0</v>
      </c>
      <c r="AC239" s="7"/>
      <c r="AD239" s="74"/>
      <c r="AE239" s="101">
        <f>IF(OR(AC239="",AD239=""),0,IFERROR(INDEX(#REF!,MATCH(AC239,#REF!,0))*AD239,0))</f>
        <v>0</v>
      </c>
      <c r="AF239" s="7"/>
      <c r="AG239" s="74"/>
      <c r="AH239" s="101">
        <f>IF(OR(AF239="",AG239=""),0,IFERROR(INDEX(#REF!,MATCH(AF239,#REF!,0))*AG239,0))</f>
        <v>0</v>
      </c>
      <c r="AI239" s="7"/>
      <c r="AJ239" s="74"/>
      <c r="AK239" s="101">
        <f>IF(OR(AI239="",AJ239=""),0,IFERROR(INDEX(#REF!,MATCH(AI239,#REF!,0))*AJ239,0))</f>
        <v>0</v>
      </c>
      <c r="AL239" s="101">
        <f t="shared" si="33"/>
        <v>0</v>
      </c>
      <c r="AM239" s="7"/>
      <c r="AN239" s="72"/>
      <c r="AO239" s="99">
        <f>IF(OR(AM239="",AN239=""),0,IFERROR(INDEX(#REF!,MATCH(AM239,#REF!,0))*AN239,0))</f>
        <v>0</v>
      </c>
      <c r="AP239" s="7"/>
      <c r="AQ239" s="74"/>
      <c r="AR239" s="99">
        <f>IF(OR(AP239="",AQ239=""),0,IFERROR(INDEX(#REF!,MATCH(AP239,#REF!,0))*AQ239,0))</f>
        <v>0</v>
      </c>
      <c r="AS239" s="7"/>
      <c r="AT239" s="74"/>
      <c r="AU239" s="99">
        <f>IF(OR(AS239="",AT239=""),0,IFERROR(INDEX(#REF!,MATCH(AS239,#REF!,0))*AT239,0))</f>
        <v>0</v>
      </c>
      <c r="AV239" s="7"/>
      <c r="AW239" s="74"/>
      <c r="AX239" s="99">
        <f>IF(OR(AV239="",AW239=""),0,IFERROR(INDEX(#REF!,MATCH(AV239,#REF!,0))*AW239,0))</f>
        <v>0</v>
      </c>
      <c r="AY239" s="7"/>
      <c r="AZ239" s="77"/>
      <c r="BA239" s="99">
        <f>IF(OR(AY239="",AZ239=""),0,IFERROR(INDEX(#REF!,MATCH(AY239,#REF!,0))*AZ239,0))</f>
        <v>0</v>
      </c>
      <c r="BB239" s="100">
        <f t="shared" si="34"/>
        <v>0</v>
      </c>
      <c r="BC239" s="110" t="str">
        <f t="shared" si="35"/>
        <v/>
      </c>
      <c r="BD239" s="62"/>
    </row>
    <row r="240" spans="1:56" ht="19.5" customHeight="1" x14ac:dyDescent="0.45">
      <c r="A240" s="104" t="str">
        <f t="shared" si="36"/>
        <v/>
      </c>
      <c r="B240" s="5"/>
      <c r="C240" s="109"/>
      <c r="D240" s="107"/>
      <c r="E240" s="6"/>
      <c r="F240" s="85"/>
      <c r="G240" s="85"/>
      <c r="H240" s="104" t="str">
        <f t="shared" si="28"/>
        <v/>
      </c>
      <c r="I240" s="103" t="str">
        <f>IFERROR(INDEX(#REF!,MATCH(E240,#REF!,0)),"")</f>
        <v/>
      </c>
      <c r="J240" s="6"/>
      <c r="K240" s="103" t="str">
        <f t="shared" si="29"/>
        <v/>
      </c>
      <c r="L240" s="8"/>
      <c r="M240" s="102" t="str">
        <f t="shared" si="30"/>
        <v/>
      </c>
      <c r="N240" s="9"/>
      <c r="O240" s="103" t="str">
        <f t="shared" si="31"/>
        <v/>
      </c>
      <c r="P240" s="6"/>
      <c r="Q240" s="7"/>
      <c r="R240" s="10"/>
      <c r="S240" s="29" t="str">
        <f t="shared" ca="1" si="32"/>
        <v/>
      </c>
      <c r="T240" s="7"/>
      <c r="U240" s="74"/>
      <c r="V240" s="101">
        <f>IF(OR(T240="",U240=""),0,IFERROR(INDEX(#REF!,MATCH(T240,#REF!,0))*U240,0))</f>
        <v>0</v>
      </c>
      <c r="W240" s="7"/>
      <c r="X240" s="74"/>
      <c r="Y240" s="101">
        <f>IF(OR(W240="",X240=""),0,IFERROR(INDEX(#REF!,MATCH(W240,#REF!,0))*X240,0))</f>
        <v>0</v>
      </c>
      <c r="Z240" s="7"/>
      <c r="AA240" s="74"/>
      <c r="AB240" s="101">
        <f>IF(OR(Z240="",AA240=""),0,IFERROR(INDEX(#REF!,MATCH(Z240,#REF!,0))*AA240,0))</f>
        <v>0</v>
      </c>
      <c r="AC240" s="7"/>
      <c r="AD240" s="74"/>
      <c r="AE240" s="101">
        <f>IF(OR(AC240="",AD240=""),0,IFERROR(INDEX(#REF!,MATCH(AC240,#REF!,0))*AD240,0))</f>
        <v>0</v>
      </c>
      <c r="AF240" s="7"/>
      <c r="AG240" s="74"/>
      <c r="AH240" s="101">
        <f>IF(OR(AF240="",AG240=""),0,IFERROR(INDEX(#REF!,MATCH(AF240,#REF!,0))*AG240,0))</f>
        <v>0</v>
      </c>
      <c r="AI240" s="7"/>
      <c r="AJ240" s="74"/>
      <c r="AK240" s="101">
        <f>IF(OR(AI240="",AJ240=""),0,IFERROR(INDEX(#REF!,MATCH(AI240,#REF!,0))*AJ240,0))</f>
        <v>0</v>
      </c>
      <c r="AL240" s="101">
        <f t="shared" si="33"/>
        <v>0</v>
      </c>
      <c r="AM240" s="7"/>
      <c r="AN240" s="72"/>
      <c r="AO240" s="99">
        <f>IF(OR(AM240="",AN240=""),0,IFERROR(INDEX(#REF!,MATCH(AM240,#REF!,0))*AN240,0))</f>
        <v>0</v>
      </c>
      <c r="AP240" s="7"/>
      <c r="AQ240" s="74"/>
      <c r="AR240" s="99">
        <f>IF(OR(AP240="",AQ240=""),0,IFERROR(INDEX(#REF!,MATCH(AP240,#REF!,0))*AQ240,0))</f>
        <v>0</v>
      </c>
      <c r="AS240" s="7"/>
      <c r="AT240" s="74"/>
      <c r="AU240" s="99">
        <f>IF(OR(AS240="",AT240=""),0,IFERROR(INDEX(#REF!,MATCH(AS240,#REF!,0))*AT240,0))</f>
        <v>0</v>
      </c>
      <c r="AV240" s="7"/>
      <c r="AW240" s="74"/>
      <c r="AX240" s="99">
        <f>IF(OR(AV240="",AW240=""),0,IFERROR(INDEX(#REF!,MATCH(AV240,#REF!,0))*AW240,0))</f>
        <v>0</v>
      </c>
      <c r="AY240" s="7"/>
      <c r="AZ240" s="77"/>
      <c r="BA240" s="99">
        <f>IF(OR(AY240="",AZ240=""),0,IFERROR(INDEX(#REF!,MATCH(AY240,#REF!,0))*AZ240,0))</f>
        <v>0</v>
      </c>
      <c r="BB240" s="100">
        <f t="shared" si="34"/>
        <v>0</v>
      </c>
      <c r="BC240" s="110" t="str">
        <f t="shared" si="35"/>
        <v/>
      </c>
      <c r="BD240" s="62"/>
    </row>
    <row r="241" spans="1:56" ht="19.5" customHeight="1" x14ac:dyDescent="0.45">
      <c r="A241" s="104" t="str">
        <f t="shared" si="36"/>
        <v/>
      </c>
      <c r="B241" s="5"/>
      <c r="C241" s="109"/>
      <c r="D241" s="107"/>
      <c r="E241" s="6"/>
      <c r="F241" s="85"/>
      <c r="G241" s="85"/>
      <c r="H241" s="104" t="str">
        <f t="shared" si="28"/>
        <v/>
      </c>
      <c r="I241" s="103" t="str">
        <f>IFERROR(INDEX(#REF!,MATCH(E241,#REF!,0)),"")</f>
        <v/>
      </c>
      <c r="J241" s="6"/>
      <c r="K241" s="103" t="str">
        <f t="shared" si="29"/>
        <v/>
      </c>
      <c r="L241" s="8"/>
      <c r="M241" s="102" t="str">
        <f t="shared" si="30"/>
        <v/>
      </c>
      <c r="N241" s="9"/>
      <c r="O241" s="103" t="str">
        <f t="shared" si="31"/>
        <v/>
      </c>
      <c r="P241" s="6"/>
      <c r="Q241" s="7"/>
      <c r="R241" s="10"/>
      <c r="S241" s="29" t="str">
        <f t="shared" ca="1" si="32"/>
        <v/>
      </c>
      <c r="T241" s="7"/>
      <c r="U241" s="74"/>
      <c r="V241" s="101">
        <f>IF(OR(T241="",U241=""),0,IFERROR(INDEX(#REF!,MATCH(T241,#REF!,0))*U241,0))</f>
        <v>0</v>
      </c>
      <c r="W241" s="7"/>
      <c r="X241" s="74"/>
      <c r="Y241" s="101">
        <f>IF(OR(W241="",X241=""),0,IFERROR(INDEX(#REF!,MATCH(W241,#REF!,0))*X241,0))</f>
        <v>0</v>
      </c>
      <c r="Z241" s="7"/>
      <c r="AA241" s="74"/>
      <c r="AB241" s="101">
        <f>IF(OR(Z241="",AA241=""),0,IFERROR(INDEX(#REF!,MATCH(Z241,#REF!,0))*AA241,0))</f>
        <v>0</v>
      </c>
      <c r="AC241" s="7"/>
      <c r="AD241" s="74"/>
      <c r="AE241" s="101">
        <f>IF(OR(AC241="",AD241=""),0,IFERROR(INDEX(#REF!,MATCH(AC241,#REF!,0))*AD241,0))</f>
        <v>0</v>
      </c>
      <c r="AF241" s="7"/>
      <c r="AG241" s="74"/>
      <c r="AH241" s="101">
        <f>IF(OR(AF241="",AG241=""),0,IFERROR(INDEX(#REF!,MATCH(AF241,#REF!,0))*AG241,0))</f>
        <v>0</v>
      </c>
      <c r="AI241" s="7"/>
      <c r="AJ241" s="74"/>
      <c r="AK241" s="101">
        <f>IF(OR(AI241="",AJ241=""),0,IFERROR(INDEX(#REF!,MATCH(AI241,#REF!,0))*AJ241,0))</f>
        <v>0</v>
      </c>
      <c r="AL241" s="101">
        <f t="shared" si="33"/>
        <v>0</v>
      </c>
      <c r="AM241" s="7"/>
      <c r="AN241" s="72"/>
      <c r="AO241" s="99">
        <f>IF(OR(AM241="",AN241=""),0,IFERROR(INDEX(#REF!,MATCH(AM241,#REF!,0))*AN241,0))</f>
        <v>0</v>
      </c>
      <c r="AP241" s="7"/>
      <c r="AQ241" s="74"/>
      <c r="AR241" s="99">
        <f>IF(OR(AP241="",AQ241=""),0,IFERROR(INDEX(#REF!,MATCH(AP241,#REF!,0))*AQ241,0))</f>
        <v>0</v>
      </c>
      <c r="AS241" s="7"/>
      <c r="AT241" s="74"/>
      <c r="AU241" s="99">
        <f>IF(OR(AS241="",AT241=""),0,IFERROR(INDEX(#REF!,MATCH(AS241,#REF!,0))*AT241,0))</f>
        <v>0</v>
      </c>
      <c r="AV241" s="7"/>
      <c r="AW241" s="74"/>
      <c r="AX241" s="99">
        <f>IF(OR(AV241="",AW241=""),0,IFERROR(INDEX(#REF!,MATCH(AV241,#REF!,0))*AW241,0))</f>
        <v>0</v>
      </c>
      <c r="AY241" s="7"/>
      <c r="AZ241" s="77"/>
      <c r="BA241" s="99">
        <f>IF(OR(AY241="",AZ241=""),0,IFERROR(INDEX(#REF!,MATCH(AY241,#REF!,0))*AZ241,0))</f>
        <v>0</v>
      </c>
      <c r="BB241" s="100">
        <f t="shared" si="34"/>
        <v>0</v>
      </c>
      <c r="BC241" s="110" t="str">
        <f t="shared" si="35"/>
        <v/>
      </c>
      <c r="BD241" s="62"/>
    </row>
    <row r="242" spans="1:56" ht="19.5" customHeight="1" x14ac:dyDescent="0.45">
      <c r="A242" s="104" t="str">
        <f t="shared" si="36"/>
        <v/>
      </c>
      <c r="B242" s="5"/>
      <c r="C242" s="109"/>
      <c r="D242" s="107"/>
      <c r="E242" s="6"/>
      <c r="F242" s="85"/>
      <c r="G242" s="85"/>
      <c r="H242" s="104" t="str">
        <f t="shared" si="28"/>
        <v/>
      </c>
      <c r="I242" s="103" t="str">
        <f>IFERROR(INDEX(#REF!,MATCH(E242,#REF!,0)),"")</f>
        <v/>
      </c>
      <c r="J242" s="6"/>
      <c r="K242" s="103" t="str">
        <f t="shared" si="29"/>
        <v/>
      </c>
      <c r="L242" s="8"/>
      <c r="M242" s="102" t="str">
        <f t="shared" si="30"/>
        <v/>
      </c>
      <c r="N242" s="9"/>
      <c r="O242" s="103" t="str">
        <f t="shared" si="31"/>
        <v/>
      </c>
      <c r="P242" s="6"/>
      <c r="Q242" s="7"/>
      <c r="R242" s="10"/>
      <c r="S242" s="29" t="str">
        <f t="shared" ca="1" si="32"/>
        <v/>
      </c>
      <c r="T242" s="7"/>
      <c r="U242" s="74"/>
      <c r="V242" s="101">
        <f>IF(OR(T242="",U242=""),0,IFERROR(INDEX(#REF!,MATCH(T242,#REF!,0))*U242,0))</f>
        <v>0</v>
      </c>
      <c r="W242" s="7"/>
      <c r="X242" s="74"/>
      <c r="Y242" s="101">
        <f>IF(OR(W242="",X242=""),0,IFERROR(INDEX(#REF!,MATCH(W242,#REF!,0))*X242,0))</f>
        <v>0</v>
      </c>
      <c r="Z242" s="7"/>
      <c r="AA242" s="74"/>
      <c r="AB242" s="101">
        <f>IF(OR(Z242="",AA242=""),0,IFERROR(INDEX(#REF!,MATCH(Z242,#REF!,0))*AA242,0))</f>
        <v>0</v>
      </c>
      <c r="AC242" s="7"/>
      <c r="AD242" s="74"/>
      <c r="AE242" s="101">
        <f>IF(OR(AC242="",AD242=""),0,IFERROR(INDEX(#REF!,MATCH(AC242,#REF!,0))*AD242,0))</f>
        <v>0</v>
      </c>
      <c r="AF242" s="7"/>
      <c r="AG242" s="74"/>
      <c r="AH242" s="101">
        <f>IF(OR(AF242="",AG242=""),0,IFERROR(INDEX(#REF!,MATCH(AF242,#REF!,0))*AG242,0))</f>
        <v>0</v>
      </c>
      <c r="AI242" s="7"/>
      <c r="AJ242" s="74"/>
      <c r="AK242" s="101">
        <f>IF(OR(AI242="",AJ242=""),0,IFERROR(INDEX(#REF!,MATCH(AI242,#REF!,0))*AJ242,0))</f>
        <v>0</v>
      </c>
      <c r="AL242" s="101">
        <f t="shared" si="33"/>
        <v>0</v>
      </c>
      <c r="AM242" s="7"/>
      <c r="AN242" s="72"/>
      <c r="AO242" s="99">
        <f>IF(OR(AM242="",AN242=""),0,IFERROR(INDEX(#REF!,MATCH(AM242,#REF!,0))*AN242,0))</f>
        <v>0</v>
      </c>
      <c r="AP242" s="7"/>
      <c r="AQ242" s="74"/>
      <c r="AR242" s="99">
        <f>IF(OR(AP242="",AQ242=""),0,IFERROR(INDEX(#REF!,MATCH(AP242,#REF!,0))*AQ242,0))</f>
        <v>0</v>
      </c>
      <c r="AS242" s="7"/>
      <c r="AT242" s="74"/>
      <c r="AU242" s="99">
        <f>IF(OR(AS242="",AT242=""),0,IFERROR(INDEX(#REF!,MATCH(AS242,#REF!,0))*AT242,0))</f>
        <v>0</v>
      </c>
      <c r="AV242" s="7"/>
      <c r="AW242" s="74"/>
      <c r="AX242" s="99">
        <f>IF(OR(AV242="",AW242=""),0,IFERROR(INDEX(#REF!,MATCH(AV242,#REF!,0))*AW242,0))</f>
        <v>0</v>
      </c>
      <c r="AY242" s="7"/>
      <c r="AZ242" s="77"/>
      <c r="BA242" s="99">
        <f>IF(OR(AY242="",AZ242=""),0,IFERROR(INDEX(#REF!,MATCH(AY242,#REF!,0))*AZ242,0))</f>
        <v>0</v>
      </c>
      <c r="BB242" s="100">
        <f t="shared" si="34"/>
        <v>0</v>
      </c>
      <c r="BC242" s="110" t="str">
        <f t="shared" si="35"/>
        <v/>
      </c>
      <c r="BD242" s="62"/>
    </row>
    <row r="243" spans="1:56" ht="19.5" customHeight="1" x14ac:dyDescent="0.45">
      <c r="A243" s="104" t="str">
        <f t="shared" si="36"/>
        <v/>
      </c>
      <c r="B243" s="5"/>
      <c r="C243" s="109"/>
      <c r="D243" s="107"/>
      <c r="E243" s="6"/>
      <c r="F243" s="85"/>
      <c r="G243" s="85"/>
      <c r="H243" s="104" t="str">
        <f t="shared" si="28"/>
        <v/>
      </c>
      <c r="I243" s="103" t="str">
        <f>IFERROR(INDEX(#REF!,MATCH(E243,#REF!,0)),"")</f>
        <v/>
      </c>
      <c r="J243" s="6"/>
      <c r="K243" s="103" t="str">
        <f t="shared" si="29"/>
        <v/>
      </c>
      <c r="L243" s="8"/>
      <c r="M243" s="102" t="str">
        <f t="shared" si="30"/>
        <v/>
      </c>
      <c r="N243" s="9"/>
      <c r="O243" s="103" t="str">
        <f t="shared" si="31"/>
        <v/>
      </c>
      <c r="P243" s="6"/>
      <c r="Q243" s="7"/>
      <c r="R243" s="10"/>
      <c r="S243" s="29" t="str">
        <f t="shared" ca="1" si="32"/>
        <v/>
      </c>
      <c r="T243" s="7"/>
      <c r="U243" s="74"/>
      <c r="V243" s="101">
        <f>IF(OR(T243="",U243=""),0,IFERROR(INDEX(#REF!,MATCH(T243,#REF!,0))*U243,0))</f>
        <v>0</v>
      </c>
      <c r="W243" s="7"/>
      <c r="X243" s="74"/>
      <c r="Y243" s="101">
        <f>IF(OR(W243="",X243=""),0,IFERROR(INDEX(#REF!,MATCH(W243,#REF!,0))*X243,0))</f>
        <v>0</v>
      </c>
      <c r="Z243" s="7"/>
      <c r="AA243" s="74"/>
      <c r="AB243" s="101">
        <f>IF(OR(Z243="",AA243=""),0,IFERROR(INDEX(#REF!,MATCH(Z243,#REF!,0))*AA243,0))</f>
        <v>0</v>
      </c>
      <c r="AC243" s="7"/>
      <c r="AD243" s="74"/>
      <c r="AE243" s="101">
        <f>IF(OR(AC243="",AD243=""),0,IFERROR(INDEX(#REF!,MATCH(AC243,#REF!,0))*AD243,0))</f>
        <v>0</v>
      </c>
      <c r="AF243" s="7"/>
      <c r="AG243" s="74"/>
      <c r="AH243" s="101">
        <f>IF(OR(AF243="",AG243=""),0,IFERROR(INDEX(#REF!,MATCH(AF243,#REF!,0))*AG243,0))</f>
        <v>0</v>
      </c>
      <c r="AI243" s="7"/>
      <c r="AJ243" s="74"/>
      <c r="AK243" s="101">
        <f>IF(OR(AI243="",AJ243=""),0,IFERROR(INDEX(#REF!,MATCH(AI243,#REF!,0))*AJ243,0))</f>
        <v>0</v>
      </c>
      <c r="AL243" s="101">
        <f t="shared" si="33"/>
        <v>0</v>
      </c>
      <c r="AM243" s="7"/>
      <c r="AN243" s="72"/>
      <c r="AO243" s="99">
        <f>IF(OR(AM243="",AN243=""),0,IFERROR(INDEX(#REF!,MATCH(AM243,#REF!,0))*AN243,0))</f>
        <v>0</v>
      </c>
      <c r="AP243" s="7"/>
      <c r="AQ243" s="74"/>
      <c r="AR243" s="99">
        <f>IF(OR(AP243="",AQ243=""),0,IFERROR(INDEX(#REF!,MATCH(AP243,#REF!,0))*AQ243,0))</f>
        <v>0</v>
      </c>
      <c r="AS243" s="7"/>
      <c r="AT243" s="74"/>
      <c r="AU243" s="99">
        <f>IF(OR(AS243="",AT243=""),0,IFERROR(INDEX(#REF!,MATCH(AS243,#REF!,0))*AT243,0))</f>
        <v>0</v>
      </c>
      <c r="AV243" s="7"/>
      <c r="AW243" s="74"/>
      <c r="AX243" s="99">
        <f>IF(OR(AV243="",AW243=""),0,IFERROR(INDEX(#REF!,MATCH(AV243,#REF!,0))*AW243,0))</f>
        <v>0</v>
      </c>
      <c r="AY243" s="7"/>
      <c r="AZ243" s="77"/>
      <c r="BA243" s="99">
        <f>IF(OR(AY243="",AZ243=""),0,IFERROR(INDEX(#REF!,MATCH(AY243,#REF!,0))*AZ243,0))</f>
        <v>0</v>
      </c>
      <c r="BB243" s="100">
        <f t="shared" si="34"/>
        <v>0</v>
      </c>
      <c r="BC243" s="110" t="str">
        <f t="shared" si="35"/>
        <v/>
      </c>
      <c r="BD243" s="62"/>
    </row>
    <row r="244" spans="1:56" ht="19.5" customHeight="1" x14ac:dyDescent="0.45">
      <c r="A244" s="104" t="str">
        <f t="shared" si="36"/>
        <v/>
      </c>
      <c r="B244" s="5"/>
      <c r="C244" s="109"/>
      <c r="D244" s="107"/>
      <c r="E244" s="6"/>
      <c r="F244" s="85"/>
      <c r="G244" s="85"/>
      <c r="H244" s="104" t="str">
        <f t="shared" si="28"/>
        <v/>
      </c>
      <c r="I244" s="103" t="str">
        <f>IFERROR(INDEX(#REF!,MATCH(E244,#REF!,0)),"")</f>
        <v/>
      </c>
      <c r="J244" s="6"/>
      <c r="K244" s="103" t="str">
        <f t="shared" si="29"/>
        <v/>
      </c>
      <c r="L244" s="8"/>
      <c r="M244" s="102" t="str">
        <f t="shared" si="30"/>
        <v/>
      </c>
      <c r="N244" s="9"/>
      <c r="O244" s="103" t="str">
        <f t="shared" si="31"/>
        <v/>
      </c>
      <c r="P244" s="6"/>
      <c r="Q244" s="7"/>
      <c r="R244" s="10"/>
      <c r="S244" s="29" t="str">
        <f t="shared" ca="1" si="32"/>
        <v/>
      </c>
      <c r="T244" s="7"/>
      <c r="U244" s="74"/>
      <c r="V244" s="101">
        <f>IF(OR(T244="",U244=""),0,IFERROR(INDEX(#REF!,MATCH(T244,#REF!,0))*U244,0))</f>
        <v>0</v>
      </c>
      <c r="W244" s="7"/>
      <c r="X244" s="74"/>
      <c r="Y244" s="101">
        <f>IF(OR(W244="",X244=""),0,IFERROR(INDEX(#REF!,MATCH(W244,#REF!,0))*X244,0))</f>
        <v>0</v>
      </c>
      <c r="Z244" s="7"/>
      <c r="AA244" s="74"/>
      <c r="AB244" s="101">
        <f>IF(OR(Z244="",AA244=""),0,IFERROR(INDEX(#REF!,MATCH(Z244,#REF!,0))*AA244,0))</f>
        <v>0</v>
      </c>
      <c r="AC244" s="7"/>
      <c r="AD244" s="74"/>
      <c r="AE244" s="101">
        <f>IF(OR(AC244="",AD244=""),0,IFERROR(INDEX(#REF!,MATCH(AC244,#REF!,0))*AD244,0))</f>
        <v>0</v>
      </c>
      <c r="AF244" s="7"/>
      <c r="AG244" s="74"/>
      <c r="AH244" s="101">
        <f>IF(OR(AF244="",AG244=""),0,IFERROR(INDEX(#REF!,MATCH(AF244,#REF!,0))*AG244,0))</f>
        <v>0</v>
      </c>
      <c r="AI244" s="7"/>
      <c r="AJ244" s="74"/>
      <c r="AK244" s="101">
        <f>IF(OR(AI244="",AJ244=""),0,IFERROR(INDEX(#REF!,MATCH(AI244,#REF!,0))*AJ244,0))</f>
        <v>0</v>
      </c>
      <c r="AL244" s="101">
        <f t="shared" si="33"/>
        <v>0</v>
      </c>
      <c r="AM244" s="7"/>
      <c r="AN244" s="72"/>
      <c r="AO244" s="99">
        <f>IF(OR(AM244="",AN244=""),0,IFERROR(INDEX(#REF!,MATCH(AM244,#REF!,0))*AN244,0))</f>
        <v>0</v>
      </c>
      <c r="AP244" s="7"/>
      <c r="AQ244" s="74"/>
      <c r="AR244" s="99">
        <f>IF(OR(AP244="",AQ244=""),0,IFERROR(INDEX(#REF!,MATCH(AP244,#REF!,0))*AQ244,0))</f>
        <v>0</v>
      </c>
      <c r="AS244" s="7"/>
      <c r="AT244" s="74"/>
      <c r="AU244" s="99">
        <f>IF(OR(AS244="",AT244=""),0,IFERROR(INDEX(#REF!,MATCH(AS244,#REF!,0))*AT244,0))</f>
        <v>0</v>
      </c>
      <c r="AV244" s="7"/>
      <c r="AW244" s="74"/>
      <c r="AX244" s="99">
        <f>IF(OR(AV244="",AW244=""),0,IFERROR(INDEX(#REF!,MATCH(AV244,#REF!,0))*AW244,0))</f>
        <v>0</v>
      </c>
      <c r="AY244" s="7"/>
      <c r="AZ244" s="77"/>
      <c r="BA244" s="99">
        <f>IF(OR(AY244="",AZ244=""),0,IFERROR(INDEX(#REF!,MATCH(AY244,#REF!,0))*AZ244,0))</f>
        <v>0</v>
      </c>
      <c r="BB244" s="100">
        <f t="shared" si="34"/>
        <v>0</v>
      </c>
      <c r="BC244" s="110" t="str">
        <f t="shared" si="35"/>
        <v/>
      </c>
      <c r="BD244" s="62"/>
    </row>
    <row r="245" spans="1:56" ht="19.5" customHeight="1" x14ac:dyDescent="0.45">
      <c r="A245" s="104" t="str">
        <f t="shared" si="36"/>
        <v/>
      </c>
      <c r="B245" s="5"/>
      <c r="C245" s="109"/>
      <c r="D245" s="107"/>
      <c r="E245" s="6"/>
      <c r="F245" s="85"/>
      <c r="G245" s="85"/>
      <c r="H245" s="104" t="str">
        <f t="shared" si="28"/>
        <v/>
      </c>
      <c r="I245" s="103" t="str">
        <f>IFERROR(INDEX(#REF!,MATCH(E245,#REF!,0)),"")</f>
        <v/>
      </c>
      <c r="J245" s="6"/>
      <c r="K245" s="103" t="str">
        <f t="shared" si="29"/>
        <v/>
      </c>
      <c r="L245" s="8"/>
      <c r="M245" s="102" t="str">
        <f t="shared" si="30"/>
        <v/>
      </c>
      <c r="N245" s="9"/>
      <c r="O245" s="103" t="str">
        <f t="shared" si="31"/>
        <v/>
      </c>
      <c r="P245" s="6"/>
      <c r="Q245" s="7"/>
      <c r="R245" s="10"/>
      <c r="S245" s="29" t="str">
        <f t="shared" ca="1" si="32"/>
        <v/>
      </c>
      <c r="T245" s="7"/>
      <c r="U245" s="74"/>
      <c r="V245" s="101">
        <f>IF(OR(T245="",U245=""),0,IFERROR(INDEX(#REF!,MATCH(T245,#REF!,0))*U245,0))</f>
        <v>0</v>
      </c>
      <c r="W245" s="7"/>
      <c r="X245" s="74"/>
      <c r="Y245" s="101">
        <f>IF(OR(W245="",X245=""),0,IFERROR(INDEX(#REF!,MATCH(W245,#REF!,0))*X245,0))</f>
        <v>0</v>
      </c>
      <c r="Z245" s="7"/>
      <c r="AA245" s="74"/>
      <c r="AB245" s="101">
        <f>IF(OR(Z245="",AA245=""),0,IFERROR(INDEX(#REF!,MATCH(Z245,#REF!,0))*AA245,0))</f>
        <v>0</v>
      </c>
      <c r="AC245" s="7"/>
      <c r="AD245" s="74"/>
      <c r="AE245" s="101">
        <f>IF(OR(AC245="",AD245=""),0,IFERROR(INDEX(#REF!,MATCH(AC245,#REF!,0))*AD245,0))</f>
        <v>0</v>
      </c>
      <c r="AF245" s="7"/>
      <c r="AG245" s="74"/>
      <c r="AH245" s="101">
        <f>IF(OR(AF245="",AG245=""),0,IFERROR(INDEX(#REF!,MATCH(AF245,#REF!,0))*AG245,0))</f>
        <v>0</v>
      </c>
      <c r="AI245" s="7"/>
      <c r="AJ245" s="74"/>
      <c r="AK245" s="101">
        <f>IF(OR(AI245="",AJ245=""),0,IFERROR(INDEX(#REF!,MATCH(AI245,#REF!,0))*AJ245,0))</f>
        <v>0</v>
      </c>
      <c r="AL245" s="101">
        <f t="shared" si="33"/>
        <v>0</v>
      </c>
      <c r="AM245" s="7"/>
      <c r="AN245" s="72"/>
      <c r="AO245" s="99">
        <f>IF(OR(AM245="",AN245=""),0,IFERROR(INDEX(#REF!,MATCH(AM245,#REF!,0))*AN245,0))</f>
        <v>0</v>
      </c>
      <c r="AP245" s="7"/>
      <c r="AQ245" s="74"/>
      <c r="AR245" s="99">
        <f>IF(OR(AP245="",AQ245=""),0,IFERROR(INDEX(#REF!,MATCH(AP245,#REF!,0))*AQ245,0))</f>
        <v>0</v>
      </c>
      <c r="AS245" s="7"/>
      <c r="AT245" s="74"/>
      <c r="AU245" s="99">
        <f>IF(OR(AS245="",AT245=""),0,IFERROR(INDEX(#REF!,MATCH(AS245,#REF!,0))*AT245,0))</f>
        <v>0</v>
      </c>
      <c r="AV245" s="7"/>
      <c r="AW245" s="74"/>
      <c r="AX245" s="99">
        <f>IF(OR(AV245="",AW245=""),0,IFERROR(INDEX(#REF!,MATCH(AV245,#REF!,0))*AW245,0))</f>
        <v>0</v>
      </c>
      <c r="AY245" s="7"/>
      <c r="AZ245" s="77"/>
      <c r="BA245" s="99">
        <f>IF(OR(AY245="",AZ245=""),0,IFERROR(INDEX(#REF!,MATCH(AY245,#REF!,0))*AZ245,0))</f>
        <v>0</v>
      </c>
      <c r="BB245" s="100">
        <f t="shared" si="34"/>
        <v>0</v>
      </c>
      <c r="BC245" s="110" t="str">
        <f t="shared" si="35"/>
        <v/>
      </c>
      <c r="BD245" s="62"/>
    </row>
    <row r="246" spans="1:56" ht="19.5" customHeight="1" x14ac:dyDescent="0.45">
      <c r="A246" s="104" t="str">
        <f t="shared" si="36"/>
        <v/>
      </c>
      <c r="B246" s="5"/>
      <c r="C246" s="109"/>
      <c r="D246" s="107"/>
      <c r="E246" s="6"/>
      <c r="F246" s="85"/>
      <c r="G246" s="85"/>
      <c r="H246" s="104" t="str">
        <f t="shared" si="28"/>
        <v/>
      </c>
      <c r="I246" s="103" t="str">
        <f>IFERROR(INDEX(#REF!,MATCH(E246,#REF!,0)),"")</f>
        <v/>
      </c>
      <c r="J246" s="6"/>
      <c r="K246" s="103" t="str">
        <f t="shared" si="29"/>
        <v/>
      </c>
      <c r="L246" s="8"/>
      <c r="M246" s="102" t="str">
        <f t="shared" si="30"/>
        <v/>
      </c>
      <c r="N246" s="9"/>
      <c r="O246" s="103" t="str">
        <f t="shared" si="31"/>
        <v/>
      </c>
      <c r="P246" s="6"/>
      <c r="Q246" s="7"/>
      <c r="R246" s="10"/>
      <c r="S246" s="29" t="str">
        <f t="shared" ca="1" si="32"/>
        <v/>
      </c>
      <c r="T246" s="7"/>
      <c r="U246" s="74"/>
      <c r="V246" s="101">
        <f>IF(OR(T246="",U246=""),0,IFERROR(INDEX(#REF!,MATCH(T246,#REF!,0))*U246,0))</f>
        <v>0</v>
      </c>
      <c r="W246" s="7"/>
      <c r="X246" s="74"/>
      <c r="Y246" s="101">
        <f>IF(OR(W246="",X246=""),0,IFERROR(INDEX(#REF!,MATCH(W246,#REF!,0))*X246,0))</f>
        <v>0</v>
      </c>
      <c r="Z246" s="7"/>
      <c r="AA246" s="74"/>
      <c r="AB246" s="101">
        <f>IF(OR(Z246="",AA246=""),0,IFERROR(INDEX(#REF!,MATCH(Z246,#REF!,0))*AA246,0))</f>
        <v>0</v>
      </c>
      <c r="AC246" s="7"/>
      <c r="AD246" s="74"/>
      <c r="AE246" s="101">
        <f>IF(OR(AC246="",AD246=""),0,IFERROR(INDEX(#REF!,MATCH(AC246,#REF!,0))*AD246,0))</f>
        <v>0</v>
      </c>
      <c r="AF246" s="7"/>
      <c r="AG246" s="74"/>
      <c r="AH246" s="101">
        <f>IF(OR(AF246="",AG246=""),0,IFERROR(INDEX(#REF!,MATCH(AF246,#REF!,0))*AG246,0))</f>
        <v>0</v>
      </c>
      <c r="AI246" s="7"/>
      <c r="AJ246" s="74"/>
      <c r="AK246" s="101">
        <f>IF(OR(AI246="",AJ246=""),0,IFERROR(INDEX(#REF!,MATCH(AI246,#REF!,0))*AJ246,0))</f>
        <v>0</v>
      </c>
      <c r="AL246" s="101">
        <f t="shared" si="33"/>
        <v>0</v>
      </c>
      <c r="AM246" s="7"/>
      <c r="AN246" s="72"/>
      <c r="AO246" s="99">
        <f>IF(OR(AM246="",AN246=""),0,IFERROR(INDEX(#REF!,MATCH(AM246,#REF!,0))*AN246,0))</f>
        <v>0</v>
      </c>
      <c r="AP246" s="7"/>
      <c r="AQ246" s="74"/>
      <c r="AR246" s="99">
        <f>IF(OR(AP246="",AQ246=""),0,IFERROR(INDEX(#REF!,MATCH(AP246,#REF!,0))*AQ246,0))</f>
        <v>0</v>
      </c>
      <c r="AS246" s="7"/>
      <c r="AT246" s="74"/>
      <c r="AU246" s="99">
        <f>IF(OR(AS246="",AT246=""),0,IFERROR(INDEX(#REF!,MATCH(AS246,#REF!,0))*AT246,0))</f>
        <v>0</v>
      </c>
      <c r="AV246" s="7"/>
      <c r="AW246" s="74"/>
      <c r="AX246" s="99">
        <f>IF(OR(AV246="",AW246=""),0,IFERROR(INDEX(#REF!,MATCH(AV246,#REF!,0))*AW246,0))</f>
        <v>0</v>
      </c>
      <c r="AY246" s="7"/>
      <c r="AZ246" s="77"/>
      <c r="BA246" s="99">
        <f>IF(OR(AY246="",AZ246=""),0,IFERROR(INDEX(#REF!,MATCH(AY246,#REF!,0))*AZ246,0))</f>
        <v>0</v>
      </c>
      <c r="BB246" s="100">
        <f t="shared" si="34"/>
        <v>0</v>
      </c>
      <c r="BC246" s="110" t="str">
        <f t="shared" si="35"/>
        <v/>
      </c>
      <c r="BD246" s="62"/>
    </row>
    <row r="247" spans="1:56" ht="19.5" customHeight="1" x14ac:dyDescent="0.45">
      <c r="A247" s="104" t="str">
        <f t="shared" si="36"/>
        <v/>
      </c>
      <c r="B247" s="5"/>
      <c r="C247" s="109"/>
      <c r="D247" s="107"/>
      <c r="E247" s="6"/>
      <c r="F247" s="85"/>
      <c r="G247" s="85"/>
      <c r="H247" s="104" t="str">
        <f t="shared" si="28"/>
        <v/>
      </c>
      <c r="I247" s="103" t="str">
        <f>IFERROR(INDEX(#REF!,MATCH(E247,#REF!,0)),"")</f>
        <v/>
      </c>
      <c r="J247" s="6"/>
      <c r="K247" s="103" t="str">
        <f t="shared" si="29"/>
        <v/>
      </c>
      <c r="L247" s="8"/>
      <c r="M247" s="102" t="str">
        <f t="shared" si="30"/>
        <v/>
      </c>
      <c r="N247" s="9"/>
      <c r="O247" s="103" t="str">
        <f t="shared" si="31"/>
        <v/>
      </c>
      <c r="P247" s="6"/>
      <c r="Q247" s="7"/>
      <c r="R247" s="10"/>
      <c r="S247" s="29" t="str">
        <f t="shared" ca="1" si="32"/>
        <v/>
      </c>
      <c r="T247" s="7"/>
      <c r="U247" s="74"/>
      <c r="V247" s="101">
        <f>IF(OR(T247="",U247=""),0,IFERROR(INDEX(#REF!,MATCH(T247,#REF!,0))*U247,0))</f>
        <v>0</v>
      </c>
      <c r="W247" s="7"/>
      <c r="X247" s="74"/>
      <c r="Y247" s="101">
        <f>IF(OR(W247="",X247=""),0,IFERROR(INDEX(#REF!,MATCH(W247,#REF!,0))*X247,0))</f>
        <v>0</v>
      </c>
      <c r="Z247" s="7"/>
      <c r="AA247" s="74"/>
      <c r="AB247" s="101">
        <f>IF(OR(Z247="",AA247=""),0,IFERROR(INDEX(#REF!,MATCH(Z247,#REF!,0))*AA247,0))</f>
        <v>0</v>
      </c>
      <c r="AC247" s="7"/>
      <c r="AD247" s="74"/>
      <c r="AE247" s="101">
        <f>IF(OR(AC247="",AD247=""),0,IFERROR(INDEX(#REF!,MATCH(AC247,#REF!,0))*AD247,0))</f>
        <v>0</v>
      </c>
      <c r="AF247" s="7"/>
      <c r="AG247" s="74"/>
      <c r="AH247" s="101">
        <f>IF(OR(AF247="",AG247=""),0,IFERROR(INDEX(#REF!,MATCH(AF247,#REF!,0))*AG247,0))</f>
        <v>0</v>
      </c>
      <c r="AI247" s="7"/>
      <c r="AJ247" s="74"/>
      <c r="AK247" s="101">
        <f>IF(OR(AI247="",AJ247=""),0,IFERROR(INDEX(#REF!,MATCH(AI247,#REF!,0))*AJ247,0))</f>
        <v>0</v>
      </c>
      <c r="AL247" s="101">
        <f t="shared" si="33"/>
        <v>0</v>
      </c>
      <c r="AM247" s="7"/>
      <c r="AN247" s="72"/>
      <c r="AO247" s="99">
        <f>IF(OR(AM247="",AN247=""),0,IFERROR(INDEX(#REF!,MATCH(AM247,#REF!,0))*AN247,0))</f>
        <v>0</v>
      </c>
      <c r="AP247" s="7"/>
      <c r="AQ247" s="74"/>
      <c r="AR247" s="99">
        <f>IF(OR(AP247="",AQ247=""),0,IFERROR(INDEX(#REF!,MATCH(AP247,#REF!,0))*AQ247,0))</f>
        <v>0</v>
      </c>
      <c r="AS247" s="7"/>
      <c r="AT247" s="74"/>
      <c r="AU247" s="99">
        <f>IF(OR(AS247="",AT247=""),0,IFERROR(INDEX(#REF!,MATCH(AS247,#REF!,0))*AT247,0))</f>
        <v>0</v>
      </c>
      <c r="AV247" s="7"/>
      <c r="AW247" s="74"/>
      <c r="AX247" s="99">
        <f>IF(OR(AV247="",AW247=""),0,IFERROR(INDEX(#REF!,MATCH(AV247,#REF!,0))*AW247,0))</f>
        <v>0</v>
      </c>
      <c r="AY247" s="7"/>
      <c r="AZ247" s="77"/>
      <c r="BA247" s="99">
        <f>IF(OR(AY247="",AZ247=""),0,IFERROR(INDEX(#REF!,MATCH(AY247,#REF!,0))*AZ247,0))</f>
        <v>0</v>
      </c>
      <c r="BB247" s="100">
        <f t="shared" si="34"/>
        <v>0</v>
      </c>
      <c r="BC247" s="110" t="str">
        <f t="shared" si="35"/>
        <v/>
      </c>
      <c r="BD247" s="62"/>
    </row>
    <row r="248" spans="1:56" ht="19.5" customHeight="1" x14ac:dyDescent="0.45">
      <c r="A248" s="104" t="str">
        <f t="shared" si="36"/>
        <v/>
      </c>
      <c r="B248" s="5"/>
      <c r="C248" s="109"/>
      <c r="D248" s="107"/>
      <c r="E248" s="6"/>
      <c r="F248" s="85"/>
      <c r="G248" s="85"/>
      <c r="H248" s="104" t="str">
        <f t="shared" si="28"/>
        <v/>
      </c>
      <c r="I248" s="103" t="str">
        <f>IFERROR(INDEX(#REF!,MATCH(E248,#REF!,0)),"")</f>
        <v/>
      </c>
      <c r="J248" s="6"/>
      <c r="K248" s="103" t="str">
        <f t="shared" si="29"/>
        <v/>
      </c>
      <c r="L248" s="8"/>
      <c r="M248" s="102" t="str">
        <f t="shared" si="30"/>
        <v/>
      </c>
      <c r="N248" s="9"/>
      <c r="O248" s="103" t="str">
        <f t="shared" si="31"/>
        <v/>
      </c>
      <c r="P248" s="6"/>
      <c r="Q248" s="7"/>
      <c r="R248" s="10"/>
      <c r="S248" s="29" t="str">
        <f t="shared" ca="1" si="32"/>
        <v/>
      </c>
      <c r="T248" s="7"/>
      <c r="U248" s="74"/>
      <c r="V248" s="101">
        <f>IF(OR(T248="",U248=""),0,IFERROR(INDEX(#REF!,MATCH(T248,#REF!,0))*U248,0))</f>
        <v>0</v>
      </c>
      <c r="W248" s="7"/>
      <c r="X248" s="74"/>
      <c r="Y248" s="101">
        <f>IF(OR(W248="",X248=""),0,IFERROR(INDEX(#REF!,MATCH(W248,#REF!,0))*X248,0))</f>
        <v>0</v>
      </c>
      <c r="Z248" s="7"/>
      <c r="AA248" s="74"/>
      <c r="AB248" s="101">
        <f>IF(OR(Z248="",AA248=""),0,IFERROR(INDEX(#REF!,MATCH(Z248,#REF!,0))*AA248,0))</f>
        <v>0</v>
      </c>
      <c r="AC248" s="7"/>
      <c r="AD248" s="74"/>
      <c r="AE248" s="101">
        <f>IF(OR(AC248="",AD248=""),0,IFERROR(INDEX(#REF!,MATCH(AC248,#REF!,0))*AD248,0))</f>
        <v>0</v>
      </c>
      <c r="AF248" s="7"/>
      <c r="AG248" s="74"/>
      <c r="AH248" s="101">
        <f>IF(OR(AF248="",AG248=""),0,IFERROR(INDEX(#REF!,MATCH(AF248,#REF!,0))*AG248,0))</f>
        <v>0</v>
      </c>
      <c r="AI248" s="7"/>
      <c r="AJ248" s="74"/>
      <c r="AK248" s="101">
        <f>IF(OR(AI248="",AJ248=""),0,IFERROR(INDEX(#REF!,MATCH(AI248,#REF!,0))*AJ248,0))</f>
        <v>0</v>
      </c>
      <c r="AL248" s="101">
        <f t="shared" si="33"/>
        <v>0</v>
      </c>
      <c r="AM248" s="7"/>
      <c r="AN248" s="72"/>
      <c r="AO248" s="99">
        <f>IF(OR(AM248="",AN248=""),0,IFERROR(INDEX(#REF!,MATCH(AM248,#REF!,0))*AN248,0))</f>
        <v>0</v>
      </c>
      <c r="AP248" s="7"/>
      <c r="AQ248" s="74"/>
      <c r="AR248" s="99">
        <f>IF(OR(AP248="",AQ248=""),0,IFERROR(INDEX(#REF!,MATCH(AP248,#REF!,0))*AQ248,0))</f>
        <v>0</v>
      </c>
      <c r="AS248" s="7"/>
      <c r="AT248" s="74"/>
      <c r="AU248" s="99">
        <f>IF(OR(AS248="",AT248=""),0,IFERROR(INDEX(#REF!,MATCH(AS248,#REF!,0))*AT248,0))</f>
        <v>0</v>
      </c>
      <c r="AV248" s="7"/>
      <c r="AW248" s="74"/>
      <c r="AX248" s="99">
        <f>IF(OR(AV248="",AW248=""),0,IFERROR(INDEX(#REF!,MATCH(AV248,#REF!,0))*AW248,0))</f>
        <v>0</v>
      </c>
      <c r="AY248" s="7"/>
      <c r="AZ248" s="77"/>
      <c r="BA248" s="99">
        <f>IF(OR(AY248="",AZ248=""),0,IFERROR(INDEX(#REF!,MATCH(AY248,#REF!,0))*AZ248,0))</f>
        <v>0</v>
      </c>
      <c r="BB248" s="100">
        <f t="shared" si="34"/>
        <v>0</v>
      </c>
      <c r="BC248" s="110" t="str">
        <f t="shared" si="35"/>
        <v/>
      </c>
      <c r="BD248" s="62"/>
    </row>
    <row r="249" spans="1:56" ht="19.5" customHeight="1" x14ac:dyDescent="0.45">
      <c r="A249" s="104" t="str">
        <f t="shared" si="36"/>
        <v/>
      </c>
      <c r="B249" s="5"/>
      <c r="C249" s="109"/>
      <c r="D249" s="107"/>
      <c r="E249" s="6"/>
      <c r="F249" s="85"/>
      <c r="G249" s="85"/>
      <c r="H249" s="104" t="str">
        <f t="shared" si="28"/>
        <v/>
      </c>
      <c r="I249" s="103" t="str">
        <f>IFERROR(INDEX(#REF!,MATCH(E249,#REF!,0)),"")</f>
        <v/>
      </c>
      <c r="J249" s="6"/>
      <c r="K249" s="103" t="str">
        <f t="shared" si="29"/>
        <v/>
      </c>
      <c r="L249" s="8"/>
      <c r="M249" s="102" t="str">
        <f t="shared" si="30"/>
        <v/>
      </c>
      <c r="N249" s="9"/>
      <c r="O249" s="103" t="str">
        <f t="shared" si="31"/>
        <v/>
      </c>
      <c r="P249" s="6"/>
      <c r="Q249" s="7"/>
      <c r="R249" s="10"/>
      <c r="S249" s="29" t="str">
        <f t="shared" ca="1" si="32"/>
        <v/>
      </c>
      <c r="T249" s="7"/>
      <c r="U249" s="74"/>
      <c r="V249" s="101">
        <f>IF(OR(T249="",U249=""),0,IFERROR(INDEX(#REF!,MATCH(T249,#REF!,0))*U249,0))</f>
        <v>0</v>
      </c>
      <c r="W249" s="7"/>
      <c r="X249" s="74"/>
      <c r="Y249" s="101">
        <f>IF(OR(W249="",X249=""),0,IFERROR(INDEX(#REF!,MATCH(W249,#REF!,0))*X249,0))</f>
        <v>0</v>
      </c>
      <c r="Z249" s="7"/>
      <c r="AA249" s="74"/>
      <c r="AB249" s="101">
        <f>IF(OR(Z249="",AA249=""),0,IFERROR(INDEX(#REF!,MATCH(Z249,#REF!,0))*AA249,0))</f>
        <v>0</v>
      </c>
      <c r="AC249" s="7"/>
      <c r="AD249" s="74"/>
      <c r="AE249" s="101">
        <f>IF(OR(AC249="",AD249=""),0,IFERROR(INDEX(#REF!,MATCH(AC249,#REF!,0))*AD249,0))</f>
        <v>0</v>
      </c>
      <c r="AF249" s="7"/>
      <c r="AG249" s="74"/>
      <c r="AH249" s="101">
        <f>IF(OR(AF249="",AG249=""),0,IFERROR(INDEX(#REF!,MATCH(AF249,#REF!,0))*AG249,0))</f>
        <v>0</v>
      </c>
      <c r="AI249" s="7"/>
      <c r="AJ249" s="74"/>
      <c r="AK249" s="101">
        <f>IF(OR(AI249="",AJ249=""),0,IFERROR(INDEX(#REF!,MATCH(AI249,#REF!,0))*AJ249,0))</f>
        <v>0</v>
      </c>
      <c r="AL249" s="101">
        <f t="shared" si="33"/>
        <v>0</v>
      </c>
      <c r="AM249" s="7"/>
      <c r="AN249" s="72"/>
      <c r="AO249" s="99">
        <f>IF(OR(AM249="",AN249=""),0,IFERROR(INDEX(#REF!,MATCH(AM249,#REF!,0))*AN249,0))</f>
        <v>0</v>
      </c>
      <c r="AP249" s="7"/>
      <c r="AQ249" s="74"/>
      <c r="AR249" s="99">
        <f>IF(OR(AP249="",AQ249=""),0,IFERROR(INDEX(#REF!,MATCH(AP249,#REF!,0))*AQ249,0))</f>
        <v>0</v>
      </c>
      <c r="AS249" s="7"/>
      <c r="AT249" s="74"/>
      <c r="AU249" s="99">
        <f>IF(OR(AS249="",AT249=""),0,IFERROR(INDEX(#REF!,MATCH(AS249,#REF!,0))*AT249,0))</f>
        <v>0</v>
      </c>
      <c r="AV249" s="7"/>
      <c r="AW249" s="74"/>
      <c r="AX249" s="99">
        <f>IF(OR(AV249="",AW249=""),0,IFERROR(INDEX(#REF!,MATCH(AV249,#REF!,0))*AW249,0))</f>
        <v>0</v>
      </c>
      <c r="AY249" s="7"/>
      <c r="AZ249" s="77"/>
      <c r="BA249" s="99">
        <f>IF(OR(AY249="",AZ249=""),0,IFERROR(INDEX(#REF!,MATCH(AY249,#REF!,0))*AZ249,0))</f>
        <v>0</v>
      </c>
      <c r="BB249" s="100">
        <f t="shared" si="34"/>
        <v>0</v>
      </c>
      <c r="BC249" s="110" t="str">
        <f t="shared" si="35"/>
        <v/>
      </c>
      <c r="BD249" s="62"/>
    </row>
    <row r="250" spans="1:56" ht="19.5" customHeight="1" x14ac:dyDescent="0.45">
      <c r="A250" s="104" t="str">
        <f t="shared" si="36"/>
        <v/>
      </c>
      <c r="B250" s="5"/>
      <c r="C250" s="109"/>
      <c r="D250" s="107"/>
      <c r="E250" s="6"/>
      <c r="F250" s="85"/>
      <c r="G250" s="85"/>
      <c r="H250" s="104" t="str">
        <f t="shared" si="28"/>
        <v/>
      </c>
      <c r="I250" s="103" t="str">
        <f>IFERROR(INDEX(#REF!,MATCH(E250,#REF!,0)),"")</f>
        <v/>
      </c>
      <c r="J250" s="6"/>
      <c r="K250" s="103" t="str">
        <f t="shared" si="29"/>
        <v/>
      </c>
      <c r="L250" s="8"/>
      <c r="M250" s="102" t="str">
        <f t="shared" si="30"/>
        <v/>
      </c>
      <c r="N250" s="9"/>
      <c r="O250" s="103" t="str">
        <f t="shared" si="31"/>
        <v/>
      </c>
      <c r="P250" s="6"/>
      <c r="Q250" s="7"/>
      <c r="R250" s="10"/>
      <c r="S250" s="29" t="str">
        <f t="shared" ca="1" si="32"/>
        <v/>
      </c>
      <c r="T250" s="7"/>
      <c r="U250" s="74"/>
      <c r="V250" s="101">
        <f>IF(OR(T250="",U250=""),0,IFERROR(INDEX(#REF!,MATCH(T250,#REF!,0))*U250,0))</f>
        <v>0</v>
      </c>
      <c r="W250" s="7"/>
      <c r="X250" s="74"/>
      <c r="Y250" s="101">
        <f>IF(OR(W250="",X250=""),0,IFERROR(INDEX(#REF!,MATCH(W250,#REF!,0))*X250,0))</f>
        <v>0</v>
      </c>
      <c r="Z250" s="7"/>
      <c r="AA250" s="74"/>
      <c r="AB250" s="101">
        <f>IF(OR(Z250="",AA250=""),0,IFERROR(INDEX(#REF!,MATCH(Z250,#REF!,0))*AA250,0))</f>
        <v>0</v>
      </c>
      <c r="AC250" s="7"/>
      <c r="AD250" s="74"/>
      <c r="AE250" s="101">
        <f>IF(OR(AC250="",AD250=""),0,IFERROR(INDEX(#REF!,MATCH(AC250,#REF!,0))*AD250,0))</f>
        <v>0</v>
      </c>
      <c r="AF250" s="7"/>
      <c r="AG250" s="74"/>
      <c r="AH250" s="101">
        <f>IF(OR(AF250="",AG250=""),0,IFERROR(INDEX(#REF!,MATCH(AF250,#REF!,0))*AG250,0))</f>
        <v>0</v>
      </c>
      <c r="AI250" s="7"/>
      <c r="AJ250" s="74"/>
      <c r="AK250" s="101">
        <f>IF(OR(AI250="",AJ250=""),0,IFERROR(INDEX(#REF!,MATCH(AI250,#REF!,0))*AJ250,0))</f>
        <v>0</v>
      </c>
      <c r="AL250" s="101">
        <f t="shared" si="33"/>
        <v>0</v>
      </c>
      <c r="AM250" s="7"/>
      <c r="AN250" s="72"/>
      <c r="AO250" s="99">
        <f>IF(OR(AM250="",AN250=""),0,IFERROR(INDEX(#REF!,MATCH(AM250,#REF!,0))*AN250,0))</f>
        <v>0</v>
      </c>
      <c r="AP250" s="7"/>
      <c r="AQ250" s="74"/>
      <c r="AR250" s="99">
        <f>IF(OR(AP250="",AQ250=""),0,IFERROR(INDEX(#REF!,MATCH(AP250,#REF!,0))*AQ250,0))</f>
        <v>0</v>
      </c>
      <c r="AS250" s="7"/>
      <c r="AT250" s="74"/>
      <c r="AU250" s="99">
        <f>IF(OR(AS250="",AT250=""),0,IFERROR(INDEX(#REF!,MATCH(AS250,#REF!,0))*AT250,0))</f>
        <v>0</v>
      </c>
      <c r="AV250" s="7"/>
      <c r="AW250" s="74"/>
      <c r="AX250" s="99">
        <f>IF(OR(AV250="",AW250=""),0,IFERROR(INDEX(#REF!,MATCH(AV250,#REF!,0))*AW250,0))</f>
        <v>0</v>
      </c>
      <c r="AY250" s="7"/>
      <c r="AZ250" s="77"/>
      <c r="BA250" s="99">
        <f>IF(OR(AY250="",AZ250=""),0,IFERROR(INDEX(#REF!,MATCH(AY250,#REF!,0))*AZ250,0))</f>
        <v>0</v>
      </c>
      <c r="BB250" s="100">
        <f t="shared" si="34"/>
        <v>0</v>
      </c>
      <c r="BC250" s="110" t="str">
        <f t="shared" si="35"/>
        <v/>
      </c>
      <c r="BD250" s="62"/>
    </row>
    <row r="251" spans="1:56" ht="19.5" customHeight="1" x14ac:dyDescent="0.45">
      <c r="A251" s="104" t="str">
        <f t="shared" si="36"/>
        <v/>
      </c>
      <c r="B251" s="5"/>
      <c r="C251" s="109"/>
      <c r="D251" s="107"/>
      <c r="E251" s="6"/>
      <c r="F251" s="85"/>
      <c r="G251" s="85"/>
      <c r="H251" s="104" t="str">
        <f t="shared" si="28"/>
        <v/>
      </c>
      <c r="I251" s="103" t="str">
        <f>IFERROR(INDEX(#REF!,MATCH(E251,#REF!,0)),"")</f>
        <v/>
      </c>
      <c r="J251" s="6"/>
      <c r="K251" s="103" t="str">
        <f t="shared" si="29"/>
        <v/>
      </c>
      <c r="L251" s="8"/>
      <c r="M251" s="102" t="str">
        <f t="shared" si="30"/>
        <v/>
      </c>
      <c r="N251" s="9"/>
      <c r="O251" s="103" t="str">
        <f t="shared" si="31"/>
        <v/>
      </c>
      <c r="P251" s="6"/>
      <c r="Q251" s="7"/>
      <c r="R251" s="10"/>
      <c r="S251" s="29" t="str">
        <f t="shared" ca="1" si="32"/>
        <v/>
      </c>
      <c r="T251" s="7"/>
      <c r="U251" s="74"/>
      <c r="V251" s="101">
        <f>IF(OR(T251="",U251=""),0,IFERROR(INDEX(#REF!,MATCH(T251,#REF!,0))*U251,0))</f>
        <v>0</v>
      </c>
      <c r="W251" s="7"/>
      <c r="X251" s="74"/>
      <c r="Y251" s="101">
        <f>IF(OR(W251="",X251=""),0,IFERROR(INDEX(#REF!,MATCH(W251,#REF!,0))*X251,0))</f>
        <v>0</v>
      </c>
      <c r="Z251" s="7"/>
      <c r="AA251" s="74"/>
      <c r="AB251" s="101">
        <f>IF(OR(Z251="",AA251=""),0,IFERROR(INDEX(#REF!,MATCH(Z251,#REF!,0))*AA251,0))</f>
        <v>0</v>
      </c>
      <c r="AC251" s="7"/>
      <c r="AD251" s="74"/>
      <c r="AE251" s="101">
        <f>IF(OR(AC251="",AD251=""),0,IFERROR(INDEX(#REF!,MATCH(AC251,#REF!,0))*AD251,0))</f>
        <v>0</v>
      </c>
      <c r="AF251" s="7"/>
      <c r="AG251" s="74"/>
      <c r="AH251" s="101">
        <f>IF(OR(AF251="",AG251=""),0,IFERROR(INDEX(#REF!,MATCH(AF251,#REF!,0))*AG251,0))</f>
        <v>0</v>
      </c>
      <c r="AI251" s="7"/>
      <c r="AJ251" s="74"/>
      <c r="AK251" s="101">
        <f>IF(OR(AI251="",AJ251=""),0,IFERROR(INDEX(#REF!,MATCH(AI251,#REF!,0))*AJ251,0))</f>
        <v>0</v>
      </c>
      <c r="AL251" s="101">
        <f t="shared" si="33"/>
        <v>0</v>
      </c>
      <c r="AM251" s="7"/>
      <c r="AN251" s="72"/>
      <c r="AO251" s="99">
        <f>IF(OR(AM251="",AN251=""),0,IFERROR(INDEX(#REF!,MATCH(AM251,#REF!,0))*AN251,0))</f>
        <v>0</v>
      </c>
      <c r="AP251" s="7"/>
      <c r="AQ251" s="74"/>
      <c r="AR251" s="99">
        <f>IF(OR(AP251="",AQ251=""),0,IFERROR(INDEX(#REF!,MATCH(AP251,#REF!,0))*AQ251,0))</f>
        <v>0</v>
      </c>
      <c r="AS251" s="7"/>
      <c r="AT251" s="74"/>
      <c r="AU251" s="99">
        <f>IF(OR(AS251="",AT251=""),0,IFERROR(INDEX(#REF!,MATCH(AS251,#REF!,0))*AT251,0))</f>
        <v>0</v>
      </c>
      <c r="AV251" s="7"/>
      <c r="AW251" s="74"/>
      <c r="AX251" s="99">
        <f>IF(OR(AV251="",AW251=""),0,IFERROR(INDEX(#REF!,MATCH(AV251,#REF!,0))*AW251,0))</f>
        <v>0</v>
      </c>
      <c r="AY251" s="7"/>
      <c r="AZ251" s="77"/>
      <c r="BA251" s="99">
        <f>IF(OR(AY251="",AZ251=""),0,IFERROR(INDEX(#REF!,MATCH(AY251,#REF!,0))*AZ251,0))</f>
        <v>0</v>
      </c>
      <c r="BB251" s="100">
        <f t="shared" si="34"/>
        <v>0</v>
      </c>
      <c r="BC251" s="110" t="str">
        <f t="shared" si="35"/>
        <v/>
      </c>
      <c r="BD251" s="62"/>
    </row>
    <row r="252" spans="1:56" ht="19.5" customHeight="1" x14ac:dyDescent="0.45">
      <c r="A252" s="104" t="str">
        <f t="shared" si="36"/>
        <v/>
      </c>
      <c r="B252" s="5"/>
      <c r="C252" s="109"/>
      <c r="D252" s="107"/>
      <c r="E252" s="6"/>
      <c r="F252" s="85"/>
      <c r="G252" s="85"/>
      <c r="H252" s="104" t="str">
        <f t="shared" si="28"/>
        <v/>
      </c>
      <c r="I252" s="103" t="str">
        <f>IFERROR(INDEX(#REF!,MATCH(E252,#REF!,0)),"")</f>
        <v/>
      </c>
      <c r="J252" s="6"/>
      <c r="K252" s="103" t="str">
        <f t="shared" si="29"/>
        <v/>
      </c>
      <c r="L252" s="8"/>
      <c r="M252" s="102" t="str">
        <f t="shared" si="30"/>
        <v/>
      </c>
      <c r="N252" s="9"/>
      <c r="O252" s="103" t="str">
        <f t="shared" si="31"/>
        <v/>
      </c>
      <c r="P252" s="6"/>
      <c r="Q252" s="7"/>
      <c r="R252" s="10"/>
      <c r="S252" s="29" t="str">
        <f t="shared" ca="1" si="32"/>
        <v/>
      </c>
      <c r="T252" s="7"/>
      <c r="U252" s="74"/>
      <c r="V252" s="101">
        <f>IF(OR(T252="",U252=""),0,IFERROR(INDEX(#REF!,MATCH(T252,#REF!,0))*U252,0))</f>
        <v>0</v>
      </c>
      <c r="W252" s="7"/>
      <c r="X252" s="74"/>
      <c r="Y252" s="101">
        <f>IF(OR(W252="",X252=""),0,IFERROR(INDEX(#REF!,MATCH(W252,#REF!,0))*X252,0))</f>
        <v>0</v>
      </c>
      <c r="Z252" s="7"/>
      <c r="AA252" s="74"/>
      <c r="AB252" s="101">
        <f>IF(OR(Z252="",AA252=""),0,IFERROR(INDEX(#REF!,MATCH(Z252,#REF!,0))*AA252,0))</f>
        <v>0</v>
      </c>
      <c r="AC252" s="7"/>
      <c r="AD252" s="74"/>
      <c r="AE252" s="101">
        <f>IF(OR(AC252="",AD252=""),0,IFERROR(INDEX(#REF!,MATCH(AC252,#REF!,0))*AD252,0))</f>
        <v>0</v>
      </c>
      <c r="AF252" s="7"/>
      <c r="AG252" s="74"/>
      <c r="AH252" s="101">
        <f>IF(OR(AF252="",AG252=""),0,IFERROR(INDEX(#REF!,MATCH(AF252,#REF!,0))*AG252,0))</f>
        <v>0</v>
      </c>
      <c r="AI252" s="7"/>
      <c r="AJ252" s="74"/>
      <c r="AK252" s="101">
        <f>IF(OR(AI252="",AJ252=""),0,IFERROR(INDEX(#REF!,MATCH(AI252,#REF!,0))*AJ252,0))</f>
        <v>0</v>
      </c>
      <c r="AL252" s="101">
        <f t="shared" si="33"/>
        <v>0</v>
      </c>
      <c r="AM252" s="7"/>
      <c r="AN252" s="72"/>
      <c r="AO252" s="99">
        <f>IF(OR(AM252="",AN252=""),0,IFERROR(INDEX(#REF!,MATCH(AM252,#REF!,0))*AN252,0))</f>
        <v>0</v>
      </c>
      <c r="AP252" s="7"/>
      <c r="AQ252" s="74"/>
      <c r="AR252" s="99">
        <f>IF(OR(AP252="",AQ252=""),0,IFERROR(INDEX(#REF!,MATCH(AP252,#REF!,0))*AQ252,0))</f>
        <v>0</v>
      </c>
      <c r="AS252" s="7"/>
      <c r="AT252" s="74"/>
      <c r="AU252" s="99">
        <f>IF(OR(AS252="",AT252=""),0,IFERROR(INDEX(#REF!,MATCH(AS252,#REF!,0))*AT252,0))</f>
        <v>0</v>
      </c>
      <c r="AV252" s="7"/>
      <c r="AW252" s="74"/>
      <c r="AX252" s="99">
        <f>IF(OR(AV252="",AW252=""),0,IFERROR(INDEX(#REF!,MATCH(AV252,#REF!,0))*AW252,0))</f>
        <v>0</v>
      </c>
      <c r="AY252" s="7"/>
      <c r="AZ252" s="77"/>
      <c r="BA252" s="99">
        <f>IF(OR(AY252="",AZ252=""),0,IFERROR(INDEX(#REF!,MATCH(AY252,#REF!,0))*AZ252,0))</f>
        <v>0</v>
      </c>
      <c r="BB252" s="100">
        <f t="shared" si="34"/>
        <v>0</v>
      </c>
      <c r="BC252" s="110" t="str">
        <f t="shared" si="35"/>
        <v/>
      </c>
      <c r="BD252" s="62"/>
    </row>
    <row r="253" spans="1:56" ht="19.5" customHeight="1" x14ac:dyDescent="0.45">
      <c r="A253" s="104" t="str">
        <f t="shared" si="36"/>
        <v/>
      </c>
      <c r="B253" s="5"/>
      <c r="C253" s="109"/>
      <c r="D253" s="107"/>
      <c r="E253" s="6"/>
      <c r="F253" s="85"/>
      <c r="G253" s="85"/>
      <c r="H253" s="104" t="str">
        <f t="shared" si="28"/>
        <v/>
      </c>
      <c r="I253" s="103" t="str">
        <f>IFERROR(INDEX(#REF!,MATCH(E253,#REF!,0)),"")</f>
        <v/>
      </c>
      <c r="J253" s="6"/>
      <c r="K253" s="103" t="str">
        <f t="shared" si="29"/>
        <v/>
      </c>
      <c r="L253" s="8"/>
      <c r="M253" s="102" t="str">
        <f t="shared" si="30"/>
        <v/>
      </c>
      <c r="N253" s="9"/>
      <c r="O253" s="103" t="str">
        <f t="shared" si="31"/>
        <v/>
      </c>
      <c r="P253" s="6"/>
      <c r="Q253" s="7"/>
      <c r="R253" s="10"/>
      <c r="S253" s="29" t="str">
        <f t="shared" ca="1" si="32"/>
        <v/>
      </c>
      <c r="T253" s="7"/>
      <c r="U253" s="74"/>
      <c r="V253" s="101">
        <f>IF(OR(T253="",U253=""),0,IFERROR(INDEX(#REF!,MATCH(T253,#REF!,0))*U253,0))</f>
        <v>0</v>
      </c>
      <c r="W253" s="7"/>
      <c r="X253" s="74"/>
      <c r="Y253" s="101">
        <f>IF(OR(W253="",X253=""),0,IFERROR(INDEX(#REF!,MATCH(W253,#REF!,0))*X253,0))</f>
        <v>0</v>
      </c>
      <c r="Z253" s="7"/>
      <c r="AA253" s="74"/>
      <c r="AB253" s="101">
        <f>IF(OR(Z253="",AA253=""),0,IFERROR(INDEX(#REF!,MATCH(Z253,#REF!,0))*AA253,0))</f>
        <v>0</v>
      </c>
      <c r="AC253" s="7"/>
      <c r="AD253" s="74"/>
      <c r="AE253" s="101">
        <f>IF(OR(AC253="",AD253=""),0,IFERROR(INDEX(#REF!,MATCH(AC253,#REF!,0))*AD253,0))</f>
        <v>0</v>
      </c>
      <c r="AF253" s="7"/>
      <c r="AG253" s="74"/>
      <c r="AH253" s="101">
        <f>IF(OR(AF253="",AG253=""),0,IFERROR(INDEX(#REF!,MATCH(AF253,#REF!,0))*AG253,0))</f>
        <v>0</v>
      </c>
      <c r="AI253" s="7"/>
      <c r="AJ253" s="74"/>
      <c r="AK253" s="101">
        <f>IF(OR(AI253="",AJ253=""),0,IFERROR(INDEX(#REF!,MATCH(AI253,#REF!,0))*AJ253,0))</f>
        <v>0</v>
      </c>
      <c r="AL253" s="101">
        <f t="shared" si="33"/>
        <v>0</v>
      </c>
      <c r="AM253" s="7"/>
      <c r="AN253" s="72"/>
      <c r="AO253" s="99">
        <f>IF(OR(AM253="",AN253=""),0,IFERROR(INDEX(#REF!,MATCH(AM253,#REF!,0))*AN253,0))</f>
        <v>0</v>
      </c>
      <c r="AP253" s="7"/>
      <c r="AQ253" s="74"/>
      <c r="AR253" s="99">
        <f>IF(OR(AP253="",AQ253=""),0,IFERROR(INDEX(#REF!,MATCH(AP253,#REF!,0))*AQ253,0))</f>
        <v>0</v>
      </c>
      <c r="AS253" s="7"/>
      <c r="AT253" s="74"/>
      <c r="AU253" s="99">
        <f>IF(OR(AS253="",AT253=""),0,IFERROR(INDEX(#REF!,MATCH(AS253,#REF!,0))*AT253,0))</f>
        <v>0</v>
      </c>
      <c r="AV253" s="7"/>
      <c r="AW253" s="74"/>
      <c r="AX253" s="99">
        <f>IF(OR(AV253="",AW253=""),0,IFERROR(INDEX(#REF!,MATCH(AV253,#REF!,0))*AW253,0))</f>
        <v>0</v>
      </c>
      <c r="AY253" s="7"/>
      <c r="AZ253" s="77"/>
      <c r="BA253" s="99">
        <f>IF(OR(AY253="",AZ253=""),0,IFERROR(INDEX(#REF!,MATCH(AY253,#REF!,0))*AZ253,0))</f>
        <v>0</v>
      </c>
      <c r="BB253" s="100">
        <f t="shared" si="34"/>
        <v>0</v>
      </c>
      <c r="BC253" s="110" t="str">
        <f t="shared" si="35"/>
        <v/>
      </c>
      <c r="BD253" s="62"/>
    </row>
    <row r="254" spans="1:56" ht="19.5" customHeight="1" x14ac:dyDescent="0.45">
      <c r="A254" s="104" t="str">
        <f t="shared" si="36"/>
        <v/>
      </c>
      <c r="B254" s="5"/>
      <c r="C254" s="109"/>
      <c r="D254" s="107"/>
      <c r="E254" s="6"/>
      <c r="F254" s="85"/>
      <c r="G254" s="85"/>
      <c r="H254" s="104" t="str">
        <f t="shared" si="28"/>
        <v/>
      </c>
      <c r="I254" s="103" t="str">
        <f>IFERROR(INDEX(#REF!,MATCH(E254,#REF!,0)),"")</f>
        <v/>
      </c>
      <c r="J254" s="6"/>
      <c r="K254" s="103" t="str">
        <f t="shared" si="29"/>
        <v/>
      </c>
      <c r="L254" s="8"/>
      <c r="M254" s="102" t="str">
        <f t="shared" si="30"/>
        <v/>
      </c>
      <c r="N254" s="9"/>
      <c r="O254" s="103" t="str">
        <f t="shared" si="31"/>
        <v/>
      </c>
      <c r="P254" s="6"/>
      <c r="Q254" s="7"/>
      <c r="R254" s="10"/>
      <c r="S254" s="29" t="str">
        <f t="shared" ca="1" si="32"/>
        <v/>
      </c>
      <c r="T254" s="7"/>
      <c r="U254" s="74"/>
      <c r="V254" s="101">
        <f>IF(OR(T254="",U254=""),0,IFERROR(INDEX(#REF!,MATCH(T254,#REF!,0))*U254,0))</f>
        <v>0</v>
      </c>
      <c r="W254" s="7"/>
      <c r="X254" s="74"/>
      <c r="Y254" s="101">
        <f>IF(OR(W254="",X254=""),0,IFERROR(INDEX(#REF!,MATCH(W254,#REF!,0))*X254,0))</f>
        <v>0</v>
      </c>
      <c r="Z254" s="7"/>
      <c r="AA254" s="74"/>
      <c r="AB254" s="101">
        <f>IF(OR(Z254="",AA254=""),0,IFERROR(INDEX(#REF!,MATCH(Z254,#REF!,0))*AA254,0))</f>
        <v>0</v>
      </c>
      <c r="AC254" s="7"/>
      <c r="AD254" s="74"/>
      <c r="AE254" s="101">
        <f>IF(OR(AC254="",AD254=""),0,IFERROR(INDEX(#REF!,MATCH(AC254,#REF!,0))*AD254,0))</f>
        <v>0</v>
      </c>
      <c r="AF254" s="7"/>
      <c r="AG254" s="74"/>
      <c r="AH254" s="101">
        <f>IF(OR(AF254="",AG254=""),0,IFERROR(INDEX(#REF!,MATCH(AF254,#REF!,0))*AG254,0))</f>
        <v>0</v>
      </c>
      <c r="AI254" s="7"/>
      <c r="AJ254" s="74"/>
      <c r="AK254" s="101">
        <f>IF(OR(AI254="",AJ254=""),0,IFERROR(INDEX(#REF!,MATCH(AI254,#REF!,0))*AJ254,0))</f>
        <v>0</v>
      </c>
      <c r="AL254" s="101">
        <f t="shared" si="33"/>
        <v>0</v>
      </c>
      <c r="AM254" s="7"/>
      <c r="AN254" s="72"/>
      <c r="AO254" s="99">
        <f>IF(OR(AM254="",AN254=""),0,IFERROR(INDEX(#REF!,MATCH(AM254,#REF!,0))*AN254,0))</f>
        <v>0</v>
      </c>
      <c r="AP254" s="7"/>
      <c r="AQ254" s="74"/>
      <c r="AR254" s="99">
        <f>IF(OR(AP254="",AQ254=""),0,IFERROR(INDEX(#REF!,MATCH(AP254,#REF!,0))*AQ254,0))</f>
        <v>0</v>
      </c>
      <c r="AS254" s="7"/>
      <c r="AT254" s="74"/>
      <c r="AU254" s="99">
        <f>IF(OR(AS254="",AT254=""),0,IFERROR(INDEX(#REF!,MATCH(AS254,#REF!,0))*AT254,0))</f>
        <v>0</v>
      </c>
      <c r="AV254" s="7"/>
      <c r="AW254" s="74"/>
      <c r="AX254" s="99">
        <f>IF(OR(AV254="",AW254=""),0,IFERROR(INDEX(#REF!,MATCH(AV254,#REF!,0))*AW254,0))</f>
        <v>0</v>
      </c>
      <c r="AY254" s="7"/>
      <c r="AZ254" s="77"/>
      <c r="BA254" s="99">
        <f>IF(OR(AY254="",AZ254=""),0,IFERROR(INDEX(#REF!,MATCH(AY254,#REF!,0))*AZ254,0))</f>
        <v>0</v>
      </c>
      <c r="BB254" s="100">
        <f t="shared" si="34"/>
        <v>0</v>
      </c>
      <c r="BC254" s="110" t="str">
        <f t="shared" si="35"/>
        <v/>
      </c>
      <c r="BD254" s="62"/>
    </row>
    <row r="255" spans="1:56" ht="19.5" customHeight="1" x14ac:dyDescent="0.45">
      <c r="A255" s="104" t="str">
        <f t="shared" si="36"/>
        <v/>
      </c>
      <c r="B255" s="5"/>
      <c r="C255" s="109"/>
      <c r="D255" s="107"/>
      <c r="E255" s="6"/>
      <c r="F255" s="85"/>
      <c r="G255" s="85"/>
      <c r="H255" s="104" t="str">
        <f t="shared" si="28"/>
        <v/>
      </c>
      <c r="I255" s="103" t="str">
        <f>IFERROR(INDEX(#REF!,MATCH(E255,#REF!,0)),"")</f>
        <v/>
      </c>
      <c r="J255" s="6"/>
      <c r="K255" s="103" t="str">
        <f t="shared" si="29"/>
        <v/>
      </c>
      <c r="L255" s="8"/>
      <c r="M255" s="102" t="str">
        <f t="shared" si="30"/>
        <v/>
      </c>
      <c r="N255" s="9"/>
      <c r="O255" s="103" t="str">
        <f t="shared" si="31"/>
        <v/>
      </c>
      <c r="P255" s="6"/>
      <c r="Q255" s="7"/>
      <c r="R255" s="10"/>
      <c r="S255" s="29" t="str">
        <f t="shared" ca="1" si="32"/>
        <v/>
      </c>
      <c r="T255" s="7"/>
      <c r="U255" s="74"/>
      <c r="V255" s="101">
        <f>IF(OR(T255="",U255=""),0,IFERROR(INDEX(#REF!,MATCH(T255,#REF!,0))*U255,0))</f>
        <v>0</v>
      </c>
      <c r="W255" s="7"/>
      <c r="X255" s="74"/>
      <c r="Y255" s="101">
        <f>IF(OR(W255="",X255=""),0,IFERROR(INDEX(#REF!,MATCH(W255,#REF!,0))*X255,0))</f>
        <v>0</v>
      </c>
      <c r="Z255" s="7"/>
      <c r="AA255" s="74"/>
      <c r="AB255" s="101">
        <f>IF(OR(Z255="",AA255=""),0,IFERROR(INDEX(#REF!,MATCH(Z255,#REF!,0))*AA255,0))</f>
        <v>0</v>
      </c>
      <c r="AC255" s="7"/>
      <c r="AD255" s="74"/>
      <c r="AE255" s="101">
        <f>IF(OR(AC255="",AD255=""),0,IFERROR(INDEX(#REF!,MATCH(AC255,#REF!,0))*AD255,0))</f>
        <v>0</v>
      </c>
      <c r="AF255" s="7"/>
      <c r="AG255" s="74"/>
      <c r="AH255" s="101">
        <f>IF(OR(AF255="",AG255=""),0,IFERROR(INDEX(#REF!,MATCH(AF255,#REF!,0))*AG255,0))</f>
        <v>0</v>
      </c>
      <c r="AI255" s="7"/>
      <c r="AJ255" s="74"/>
      <c r="AK255" s="101">
        <f>IF(OR(AI255="",AJ255=""),0,IFERROR(INDEX(#REF!,MATCH(AI255,#REF!,0))*AJ255,0))</f>
        <v>0</v>
      </c>
      <c r="AL255" s="101">
        <f t="shared" si="33"/>
        <v>0</v>
      </c>
      <c r="AM255" s="7"/>
      <c r="AN255" s="72"/>
      <c r="AO255" s="99">
        <f>IF(OR(AM255="",AN255=""),0,IFERROR(INDEX(#REF!,MATCH(AM255,#REF!,0))*AN255,0))</f>
        <v>0</v>
      </c>
      <c r="AP255" s="7"/>
      <c r="AQ255" s="74"/>
      <c r="AR255" s="99">
        <f>IF(OR(AP255="",AQ255=""),0,IFERROR(INDEX(#REF!,MATCH(AP255,#REF!,0))*AQ255,0))</f>
        <v>0</v>
      </c>
      <c r="AS255" s="7"/>
      <c r="AT255" s="74"/>
      <c r="AU255" s="99">
        <f>IF(OR(AS255="",AT255=""),0,IFERROR(INDEX(#REF!,MATCH(AS255,#REF!,0))*AT255,0))</f>
        <v>0</v>
      </c>
      <c r="AV255" s="7"/>
      <c r="AW255" s="74"/>
      <c r="AX255" s="99">
        <f>IF(OR(AV255="",AW255=""),0,IFERROR(INDEX(#REF!,MATCH(AV255,#REF!,0))*AW255,0))</f>
        <v>0</v>
      </c>
      <c r="AY255" s="7"/>
      <c r="AZ255" s="77"/>
      <c r="BA255" s="99">
        <f>IF(OR(AY255="",AZ255=""),0,IFERROR(INDEX(#REF!,MATCH(AY255,#REF!,0))*AZ255,0))</f>
        <v>0</v>
      </c>
      <c r="BB255" s="100">
        <f t="shared" si="34"/>
        <v>0</v>
      </c>
      <c r="BC255" s="110" t="str">
        <f t="shared" si="35"/>
        <v/>
      </c>
      <c r="BD255" s="62"/>
    </row>
    <row r="256" spans="1:56" ht="19.5" customHeight="1" x14ac:dyDescent="0.45">
      <c r="A256" s="104" t="str">
        <f t="shared" si="36"/>
        <v/>
      </c>
      <c r="B256" s="5"/>
      <c r="C256" s="109"/>
      <c r="D256" s="107"/>
      <c r="E256" s="6"/>
      <c r="F256" s="85"/>
      <c r="G256" s="85"/>
      <c r="H256" s="104" t="str">
        <f t="shared" si="28"/>
        <v/>
      </c>
      <c r="I256" s="103" t="str">
        <f>IFERROR(INDEX(#REF!,MATCH(E256,#REF!,0)),"")</f>
        <v/>
      </c>
      <c r="J256" s="6"/>
      <c r="K256" s="103" t="str">
        <f t="shared" si="29"/>
        <v/>
      </c>
      <c r="L256" s="8"/>
      <c r="M256" s="102" t="str">
        <f t="shared" si="30"/>
        <v/>
      </c>
      <c r="N256" s="9"/>
      <c r="O256" s="103" t="str">
        <f t="shared" si="31"/>
        <v/>
      </c>
      <c r="P256" s="6"/>
      <c r="Q256" s="7"/>
      <c r="R256" s="10"/>
      <c r="S256" s="29" t="str">
        <f t="shared" ca="1" si="32"/>
        <v/>
      </c>
      <c r="T256" s="7"/>
      <c r="U256" s="74"/>
      <c r="V256" s="101">
        <f>IF(OR(T256="",U256=""),0,IFERROR(INDEX(#REF!,MATCH(T256,#REF!,0))*U256,0))</f>
        <v>0</v>
      </c>
      <c r="W256" s="7"/>
      <c r="X256" s="74"/>
      <c r="Y256" s="101">
        <f>IF(OR(W256="",X256=""),0,IFERROR(INDEX(#REF!,MATCH(W256,#REF!,0))*X256,0))</f>
        <v>0</v>
      </c>
      <c r="Z256" s="7"/>
      <c r="AA256" s="74"/>
      <c r="AB256" s="101">
        <f>IF(OR(Z256="",AA256=""),0,IFERROR(INDEX(#REF!,MATCH(Z256,#REF!,0))*AA256,0))</f>
        <v>0</v>
      </c>
      <c r="AC256" s="7"/>
      <c r="AD256" s="74"/>
      <c r="AE256" s="101">
        <f>IF(OR(AC256="",AD256=""),0,IFERROR(INDEX(#REF!,MATCH(AC256,#REF!,0))*AD256,0))</f>
        <v>0</v>
      </c>
      <c r="AF256" s="7"/>
      <c r="AG256" s="74"/>
      <c r="AH256" s="101">
        <f>IF(OR(AF256="",AG256=""),0,IFERROR(INDEX(#REF!,MATCH(AF256,#REF!,0))*AG256,0))</f>
        <v>0</v>
      </c>
      <c r="AI256" s="7"/>
      <c r="AJ256" s="74"/>
      <c r="AK256" s="101">
        <f>IF(OR(AI256="",AJ256=""),0,IFERROR(INDEX(#REF!,MATCH(AI256,#REF!,0))*AJ256,0))</f>
        <v>0</v>
      </c>
      <c r="AL256" s="101">
        <f t="shared" si="33"/>
        <v>0</v>
      </c>
      <c r="AM256" s="7"/>
      <c r="AN256" s="72"/>
      <c r="AO256" s="99">
        <f>IF(OR(AM256="",AN256=""),0,IFERROR(INDEX(#REF!,MATCH(AM256,#REF!,0))*AN256,0))</f>
        <v>0</v>
      </c>
      <c r="AP256" s="7"/>
      <c r="AQ256" s="74"/>
      <c r="AR256" s="99">
        <f>IF(OR(AP256="",AQ256=""),0,IFERROR(INDEX(#REF!,MATCH(AP256,#REF!,0))*AQ256,0))</f>
        <v>0</v>
      </c>
      <c r="AS256" s="7"/>
      <c r="AT256" s="74"/>
      <c r="AU256" s="99">
        <f>IF(OR(AS256="",AT256=""),0,IFERROR(INDEX(#REF!,MATCH(AS256,#REF!,0))*AT256,0))</f>
        <v>0</v>
      </c>
      <c r="AV256" s="7"/>
      <c r="AW256" s="74"/>
      <c r="AX256" s="99">
        <f>IF(OR(AV256="",AW256=""),0,IFERROR(INDEX(#REF!,MATCH(AV256,#REF!,0))*AW256,0))</f>
        <v>0</v>
      </c>
      <c r="AY256" s="7"/>
      <c r="AZ256" s="77"/>
      <c r="BA256" s="99">
        <f>IF(OR(AY256="",AZ256=""),0,IFERROR(INDEX(#REF!,MATCH(AY256,#REF!,0))*AZ256,0))</f>
        <v>0</v>
      </c>
      <c r="BB256" s="100">
        <f t="shared" si="34"/>
        <v>0</v>
      </c>
      <c r="BC256" s="110" t="str">
        <f t="shared" si="35"/>
        <v/>
      </c>
      <c r="BD256" s="62"/>
    </row>
    <row r="257" spans="1:56" ht="19.5" customHeight="1" x14ac:dyDescent="0.45">
      <c r="A257" s="104" t="str">
        <f t="shared" si="36"/>
        <v/>
      </c>
      <c r="B257" s="5"/>
      <c r="C257" s="109"/>
      <c r="D257" s="107"/>
      <c r="E257" s="6"/>
      <c r="F257" s="85"/>
      <c r="G257" s="85"/>
      <c r="H257" s="104" t="str">
        <f t="shared" si="28"/>
        <v/>
      </c>
      <c r="I257" s="103" t="str">
        <f>IFERROR(INDEX(#REF!,MATCH(E257,#REF!,0)),"")</f>
        <v/>
      </c>
      <c r="J257" s="6"/>
      <c r="K257" s="103" t="str">
        <f t="shared" si="29"/>
        <v/>
      </c>
      <c r="L257" s="8"/>
      <c r="M257" s="102" t="str">
        <f t="shared" si="30"/>
        <v/>
      </c>
      <c r="N257" s="9"/>
      <c r="O257" s="103" t="str">
        <f t="shared" si="31"/>
        <v/>
      </c>
      <c r="P257" s="6"/>
      <c r="Q257" s="7"/>
      <c r="R257" s="10"/>
      <c r="S257" s="29" t="str">
        <f t="shared" ca="1" si="32"/>
        <v/>
      </c>
      <c r="T257" s="7"/>
      <c r="U257" s="74"/>
      <c r="V257" s="101">
        <f>IF(OR(T257="",U257=""),0,IFERROR(INDEX(#REF!,MATCH(T257,#REF!,0))*U257,0))</f>
        <v>0</v>
      </c>
      <c r="W257" s="7"/>
      <c r="X257" s="74"/>
      <c r="Y257" s="101">
        <f>IF(OR(W257="",X257=""),0,IFERROR(INDEX(#REF!,MATCH(W257,#REF!,0))*X257,0))</f>
        <v>0</v>
      </c>
      <c r="Z257" s="7"/>
      <c r="AA257" s="74"/>
      <c r="AB257" s="101">
        <f>IF(OR(Z257="",AA257=""),0,IFERROR(INDEX(#REF!,MATCH(Z257,#REF!,0))*AA257,0))</f>
        <v>0</v>
      </c>
      <c r="AC257" s="7"/>
      <c r="AD257" s="74"/>
      <c r="AE257" s="101">
        <f>IF(OR(AC257="",AD257=""),0,IFERROR(INDEX(#REF!,MATCH(AC257,#REF!,0))*AD257,0))</f>
        <v>0</v>
      </c>
      <c r="AF257" s="7"/>
      <c r="AG257" s="74"/>
      <c r="AH257" s="101">
        <f>IF(OR(AF257="",AG257=""),0,IFERROR(INDEX(#REF!,MATCH(AF257,#REF!,0))*AG257,0))</f>
        <v>0</v>
      </c>
      <c r="AI257" s="7"/>
      <c r="AJ257" s="74"/>
      <c r="AK257" s="101">
        <f>IF(OR(AI257="",AJ257=""),0,IFERROR(INDEX(#REF!,MATCH(AI257,#REF!,0))*AJ257,0))</f>
        <v>0</v>
      </c>
      <c r="AL257" s="101">
        <f t="shared" si="33"/>
        <v>0</v>
      </c>
      <c r="AM257" s="7"/>
      <c r="AN257" s="72"/>
      <c r="AO257" s="99">
        <f>IF(OR(AM257="",AN257=""),0,IFERROR(INDEX(#REF!,MATCH(AM257,#REF!,0))*AN257,0))</f>
        <v>0</v>
      </c>
      <c r="AP257" s="7"/>
      <c r="AQ257" s="74"/>
      <c r="AR257" s="99">
        <f>IF(OR(AP257="",AQ257=""),0,IFERROR(INDEX(#REF!,MATCH(AP257,#REF!,0))*AQ257,0))</f>
        <v>0</v>
      </c>
      <c r="AS257" s="7"/>
      <c r="AT257" s="74"/>
      <c r="AU257" s="99">
        <f>IF(OR(AS257="",AT257=""),0,IFERROR(INDEX(#REF!,MATCH(AS257,#REF!,0))*AT257,0))</f>
        <v>0</v>
      </c>
      <c r="AV257" s="7"/>
      <c r="AW257" s="74"/>
      <c r="AX257" s="99">
        <f>IF(OR(AV257="",AW257=""),0,IFERROR(INDEX(#REF!,MATCH(AV257,#REF!,0))*AW257,0))</f>
        <v>0</v>
      </c>
      <c r="AY257" s="7"/>
      <c r="AZ257" s="77"/>
      <c r="BA257" s="99">
        <f>IF(OR(AY257="",AZ257=""),0,IFERROR(INDEX(#REF!,MATCH(AY257,#REF!,0))*AZ257,0))</f>
        <v>0</v>
      </c>
      <c r="BB257" s="100">
        <f t="shared" si="34"/>
        <v>0</v>
      </c>
      <c r="BC257" s="110" t="str">
        <f t="shared" si="35"/>
        <v/>
      </c>
      <c r="BD257" s="62"/>
    </row>
    <row r="258" spans="1:56" ht="19.5" customHeight="1" x14ac:dyDescent="0.45">
      <c r="A258" s="104" t="str">
        <f t="shared" si="36"/>
        <v/>
      </c>
      <c r="B258" s="5"/>
      <c r="C258" s="109"/>
      <c r="D258" s="107"/>
      <c r="E258" s="6"/>
      <c r="F258" s="85"/>
      <c r="G258" s="85"/>
      <c r="H258" s="104" t="str">
        <f t="shared" si="28"/>
        <v/>
      </c>
      <c r="I258" s="103" t="str">
        <f>IFERROR(INDEX(#REF!,MATCH(E258,#REF!,0)),"")</f>
        <v/>
      </c>
      <c r="J258" s="6"/>
      <c r="K258" s="103" t="str">
        <f t="shared" si="29"/>
        <v/>
      </c>
      <c r="L258" s="8"/>
      <c r="M258" s="102" t="str">
        <f t="shared" si="30"/>
        <v/>
      </c>
      <c r="N258" s="9"/>
      <c r="O258" s="103" t="str">
        <f t="shared" si="31"/>
        <v/>
      </c>
      <c r="P258" s="6"/>
      <c r="Q258" s="7"/>
      <c r="R258" s="10"/>
      <c r="S258" s="29" t="str">
        <f t="shared" ca="1" si="32"/>
        <v/>
      </c>
      <c r="T258" s="7"/>
      <c r="U258" s="74"/>
      <c r="V258" s="101">
        <f>IF(OR(T258="",U258=""),0,IFERROR(INDEX(#REF!,MATCH(T258,#REF!,0))*U258,0))</f>
        <v>0</v>
      </c>
      <c r="W258" s="7"/>
      <c r="X258" s="74"/>
      <c r="Y258" s="101">
        <f>IF(OR(W258="",X258=""),0,IFERROR(INDEX(#REF!,MATCH(W258,#REF!,0))*X258,0))</f>
        <v>0</v>
      </c>
      <c r="Z258" s="7"/>
      <c r="AA258" s="74"/>
      <c r="AB258" s="101">
        <f>IF(OR(Z258="",AA258=""),0,IFERROR(INDEX(#REF!,MATCH(Z258,#REF!,0))*AA258,0))</f>
        <v>0</v>
      </c>
      <c r="AC258" s="7"/>
      <c r="AD258" s="74"/>
      <c r="AE258" s="101">
        <f>IF(OR(AC258="",AD258=""),0,IFERROR(INDEX(#REF!,MATCH(AC258,#REF!,0))*AD258,0))</f>
        <v>0</v>
      </c>
      <c r="AF258" s="7"/>
      <c r="AG258" s="74"/>
      <c r="AH258" s="101">
        <f>IF(OR(AF258="",AG258=""),0,IFERROR(INDEX(#REF!,MATCH(AF258,#REF!,0))*AG258,0))</f>
        <v>0</v>
      </c>
      <c r="AI258" s="7"/>
      <c r="AJ258" s="74"/>
      <c r="AK258" s="101">
        <f>IF(OR(AI258="",AJ258=""),0,IFERROR(INDEX(#REF!,MATCH(AI258,#REF!,0))*AJ258,0))</f>
        <v>0</v>
      </c>
      <c r="AL258" s="101">
        <f t="shared" si="33"/>
        <v>0</v>
      </c>
      <c r="AM258" s="7"/>
      <c r="AN258" s="72"/>
      <c r="AO258" s="99">
        <f>IF(OR(AM258="",AN258=""),0,IFERROR(INDEX(#REF!,MATCH(AM258,#REF!,0))*AN258,0))</f>
        <v>0</v>
      </c>
      <c r="AP258" s="7"/>
      <c r="AQ258" s="74"/>
      <c r="AR258" s="99">
        <f>IF(OR(AP258="",AQ258=""),0,IFERROR(INDEX(#REF!,MATCH(AP258,#REF!,0))*AQ258,0))</f>
        <v>0</v>
      </c>
      <c r="AS258" s="7"/>
      <c r="AT258" s="74"/>
      <c r="AU258" s="99">
        <f>IF(OR(AS258="",AT258=""),0,IFERROR(INDEX(#REF!,MATCH(AS258,#REF!,0))*AT258,0))</f>
        <v>0</v>
      </c>
      <c r="AV258" s="7"/>
      <c r="AW258" s="74"/>
      <c r="AX258" s="99">
        <f>IF(OR(AV258="",AW258=""),0,IFERROR(INDEX(#REF!,MATCH(AV258,#REF!,0))*AW258,0))</f>
        <v>0</v>
      </c>
      <c r="AY258" s="7"/>
      <c r="AZ258" s="77"/>
      <c r="BA258" s="99">
        <f>IF(OR(AY258="",AZ258=""),0,IFERROR(INDEX(#REF!,MATCH(AY258,#REF!,0))*AZ258,0))</f>
        <v>0</v>
      </c>
      <c r="BB258" s="100">
        <f t="shared" si="34"/>
        <v>0</v>
      </c>
      <c r="BC258" s="110" t="str">
        <f t="shared" si="35"/>
        <v/>
      </c>
      <c r="BD258" s="62"/>
    </row>
    <row r="259" spans="1:56" ht="19.5" customHeight="1" x14ac:dyDescent="0.45">
      <c r="A259" s="104" t="str">
        <f t="shared" si="36"/>
        <v/>
      </c>
      <c r="B259" s="5"/>
      <c r="C259" s="109"/>
      <c r="D259" s="107"/>
      <c r="E259" s="6"/>
      <c r="F259" s="85"/>
      <c r="G259" s="85"/>
      <c r="H259" s="104" t="str">
        <f t="shared" si="28"/>
        <v/>
      </c>
      <c r="I259" s="103" t="str">
        <f>IFERROR(INDEX(#REF!,MATCH(E259,#REF!,0)),"")</f>
        <v/>
      </c>
      <c r="J259" s="6"/>
      <c r="K259" s="103" t="str">
        <f t="shared" si="29"/>
        <v/>
      </c>
      <c r="L259" s="8"/>
      <c r="M259" s="102" t="str">
        <f t="shared" si="30"/>
        <v/>
      </c>
      <c r="N259" s="9"/>
      <c r="O259" s="103" t="str">
        <f t="shared" si="31"/>
        <v/>
      </c>
      <c r="P259" s="6"/>
      <c r="Q259" s="7"/>
      <c r="R259" s="10"/>
      <c r="S259" s="29" t="str">
        <f t="shared" ca="1" si="32"/>
        <v/>
      </c>
      <c r="T259" s="7"/>
      <c r="U259" s="74"/>
      <c r="V259" s="101">
        <f>IF(OR(T259="",U259=""),0,IFERROR(INDEX(#REF!,MATCH(T259,#REF!,0))*U259,0))</f>
        <v>0</v>
      </c>
      <c r="W259" s="7"/>
      <c r="X259" s="74"/>
      <c r="Y259" s="101">
        <f>IF(OR(W259="",X259=""),0,IFERROR(INDEX(#REF!,MATCH(W259,#REF!,0))*X259,0))</f>
        <v>0</v>
      </c>
      <c r="Z259" s="7"/>
      <c r="AA259" s="74"/>
      <c r="AB259" s="101">
        <f>IF(OR(Z259="",AA259=""),0,IFERROR(INDEX(#REF!,MATCH(Z259,#REF!,0))*AA259,0))</f>
        <v>0</v>
      </c>
      <c r="AC259" s="7"/>
      <c r="AD259" s="74"/>
      <c r="AE259" s="101">
        <f>IF(OR(AC259="",AD259=""),0,IFERROR(INDEX(#REF!,MATCH(AC259,#REF!,0))*AD259,0))</f>
        <v>0</v>
      </c>
      <c r="AF259" s="7"/>
      <c r="AG259" s="74"/>
      <c r="AH259" s="101">
        <f>IF(OR(AF259="",AG259=""),0,IFERROR(INDEX(#REF!,MATCH(AF259,#REF!,0))*AG259,0))</f>
        <v>0</v>
      </c>
      <c r="AI259" s="7"/>
      <c r="AJ259" s="74"/>
      <c r="AK259" s="101">
        <f>IF(OR(AI259="",AJ259=""),0,IFERROR(INDEX(#REF!,MATCH(AI259,#REF!,0))*AJ259,0))</f>
        <v>0</v>
      </c>
      <c r="AL259" s="101">
        <f t="shared" si="33"/>
        <v>0</v>
      </c>
      <c r="AM259" s="7"/>
      <c r="AN259" s="72"/>
      <c r="AO259" s="99">
        <f>IF(OR(AM259="",AN259=""),0,IFERROR(INDEX(#REF!,MATCH(AM259,#REF!,0))*AN259,0))</f>
        <v>0</v>
      </c>
      <c r="AP259" s="7"/>
      <c r="AQ259" s="74"/>
      <c r="AR259" s="99">
        <f>IF(OR(AP259="",AQ259=""),0,IFERROR(INDEX(#REF!,MATCH(AP259,#REF!,0))*AQ259,0))</f>
        <v>0</v>
      </c>
      <c r="AS259" s="7"/>
      <c r="AT259" s="74"/>
      <c r="AU259" s="99">
        <f>IF(OR(AS259="",AT259=""),0,IFERROR(INDEX(#REF!,MATCH(AS259,#REF!,0))*AT259,0))</f>
        <v>0</v>
      </c>
      <c r="AV259" s="7"/>
      <c r="AW259" s="74"/>
      <c r="AX259" s="99">
        <f>IF(OR(AV259="",AW259=""),0,IFERROR(INDEX(#REF!,MATCH(AV259,#REF!,0))*AW259,0))</f>
        <v>0</v>
      </c>
      <c r="AY259" s="7"/>
      <c r="AZ259" s="77"/>
      <c r="BA259" s="99">
        <f>IF(OR(AY259="",AZ259=""),0,IFERROR(INDEX(#REF!,MATCH(AY259,#REF!,0))*AZ259,0))</f>
        <v>0</v>
      </c>
      <c r="BB259" s="100">
        <f t="shared" si="34"/>
        <v>0</v>
      </c>
      <c r="BC259" s="110" t="str">
        <f t="shared" si="35"/>
        <v/>
      </c>
      <c r="BD259" s="62"/>
    </row>
    <row r="260" spans="1:56" ht="19.5" customHeight="1" x14ac:dyDescent="0.45">
      <c r="A260" s="104" t="str">
        <f t="shared" si="36"/>
        <v/>
      </c>
      <c r="B260" s="5"/>
      <c r="C260" s="109"/>
      <c r="D260" s="107"/>
      <c r="E260" s="6"/>
      <c r="F260" s="85"/>
      <c r="G260" s="85"/>
      <c r="H260" s="104" t="str">
        <f t="shared" si="28"/>
        <v/>
      </c>
      <c r="I260" s="103" t="str">
        <f>IFERROR(INDEX(#REF!,MATCH(E260,#REF!,0)),"")</f>
        <v/>
      </c>
      <c r="J260" s="6"/>
      <c r="K260" s="103" t="str">
        <f t="shared" si="29"/>
        <v/>
      </c>
      <c r="L260" s="8"/>
      <c r="M260" s="102" t="str">
        <f t="shared" si="30"/>
        <v/>
      </c>
      <c r="N260" s="9"/>
      <c r="O260" s="103" t="str">
        <f t="shared" si="31"/>
        <v/>
      </c>
      <c r="P260" s="6"/>
      <c r="Q260" s="7"/>
      <c r="R260" s="10"/>
      <c r="S260" s="29" t="str">
        <f t="shared" ca="1" si="32"/>
        <v/>
      </c>
      <c r="T260" s="7"/>
      <c r="U260" s="74"/>
      <c r="V260" s="101">
        <f>IF(OR(T260="",U260=""),0,IFERROR(INDEX(#REF!,MATCH(T260,#REF!,0))*U260,0))</f>
        <v>0</v>
      </c>
      <c r="W260" s="7"/>
      <c r="X260" s="74"/>
      <c r="Y260" s="101">
        <f>IF(OR(W260="",X260=""),0,IFERROR(INDEX(#REF!,MATCH(W260,#REF!,0))*X260,0))</f>
        <v>0</v>
      </c>
      <c r="Z260" s="7"/>
      <c r="AA260" s="74"/>
      <c r="AB260" s="101">
        <f>IF(OR(Z260="",AA260=""),0,IFERROR(INDEX(#REF!,MATCH(Z260,#REF!,0))*AA260,0))</f>
        <v>0</v>
      </c>
      <c r="AC260" s="7"/>
      <c r="AD260" s="74"/>
      <c r="AE260" s="101">
        <f>IF(OR(AC260="",AD260=""),0,IFERROR(INDEX(#REF!,MATCH(AC260,#REF!,0))*AD260,0))</f>
        <v>0</v>
      </c>
      <c r="AF260" s="7"/>
      <c r="AG260" s="74"/>
      <c r="AH260" s="101">
        <f>IF(OR(AF260="",AG260=""),0,IFERROR(INDEX(#REF!,MATCH(AF260,#REF!,0))*AG260,0))</f>
        <v>0</v>
      </c>
      <c r="AI260" s="7"/>
      <c r="AJ260" s="74"/>
      <c r="AK260" s="101">
        <f>IF(OR(AI260="",AJ260=""),0,IFERROR(INDEX(#REF!,MATCH(AI260,#REF!,0))*AJ260,0))</f>
        <v>0</v>
      </c>
      <c r="AL260" s="101">
        <f t="shared" si="33"/>
        <v>0</v>
      </c>
      <c r="AM260" s="7"/>
      <c r="AN260" s="72"/>
      <c r="AO260" s="99">
        <f>IF(OR(AM260="",AN260=""),0,IFERROR(INDEX(#REF!,MATCH(AM260,#REF!,0))*AN260,0))</f>
        <v>0</v>
      </c>
      <c r="AP260" s="7"/>
      <c r="AQ260" s="74"/>
      <c r="AR260" s="99">
        <f>IF(OR(AP260="",AQ260=""),0,IFERROR(INDEX(#REF!,MATCH(AP260,#REF!,0))*AQ260,0))</f>
        <v>0</v>
      </c>
      <c r="AS260" s="7"/>
      <c r="AT260" s="74"/>
      <c r="AU260" s="99">
        <f>IF(OR(AS260="",AT260=""),0,IFERROR(INDEX(#REF!,MATCH(AS260,#REF!,0))*AT260,0))</f>
        <v>0</v>
      </c>
      <c r="AV260" s="7"/>
      <c r="AW260" s="74"/>
      <c r="AX260" s="99">
        <f>IF(OR(AV260="",AW260=""),0,IFERROR(INDEX(#REF!,MATCH(AV260,#REF!,0))*AW260,0))</f>
        <v>0</v>
      </c>
      <c r="AY260" s="7"/>
      <c r="AZ260" s="77"/>
      <c r="BA260" s="99">
        <f>IF(OR(AY260="",AZ260=""),0,IFERROR(INDEX(#REF!,MATCH(AY260,#REF!,0))*AZ260,0))</f>
        <v>0</v>
      </c>
      <c r="BB260" s="100">
        <f t="shared" si="34"/>
        <v>0</v>
      </c>
      <c r="BC260" s="110" t="str">
        <f t="shared" si="35"/>
        <v/>
      </c>
      <c r="BD260" s="62"/>
    </row>
    <row r="261" spans="1:56" ht="19.5" customHeight="1" x14ac:dyDescent="0.45">
      <c r="A261" s="104" t="str">
        <f t="shared" si="36"/>
        <v/>
      </c>
      <c r="B261" s="5"/>
      <c r="C261" s="109"/>
      <c r="D261" s="107"/>
      <c r="E261" s="6"/>
      <c r="F261" s="85"/>
      <c r="G261" s="85"/>
      <c r="H261" s="104" t="str">
        <f t="shared" ref="H261:H324" si="37">IF(AND(F261&lt;&gt;"",G261&lt;&gt;""),G261-F261,"")</f>
        <v/>
      </c>
      <c r="I261" s="103" t="str">
        <f>IFERROR(INDEX(#REF!,MATCH(E261,#REF!,0)),"")</f>
        <v/>
      </c>
      <c r="J261" s="6"/>
      <c r="K261" s="103" t="str">
        <f t="shared" ref="K261:K324" si="38">IF(AND(ISNUMBER(H261),ISNUMBER(I261)),H261*I261,"")</f>
        <v/>
      </c>
      <c r="L261" s="8"/>
      <c r="M261" s="102" t="str">
        <f t="shared" ref="M261:M324" si="39">IF(ISNUMBER(K261),K261*(1-L261),"")</f>
        <v/>
      </c>
      <c r="N261" s="9"/>
      <c r="O261" s="103" t="str">
        <f t="shared" ref="O261:O324" si="40">IF(ISNUMBER(M261),M261-N261,"")</f>
        <v/>
      </c>
      <c r="P261" s="6"/>
      <c r="Q261" s="7"/>
      <c r="R261" s="10"/>
      <c r="S261" s="29" t="str">
        <f t="shared" ca="1" si="32"/>
        <v/>
      </c>
      <c r="T261" s="7"/>
      <c r="U261" s="74"/>
      <c r="V261" s="101">
        <f>IF(OR(T261="",U261=""),0,IFERROR(INDEX(#REF!,MATCH(T261,#REF!,0))*U261,0))</f>
        <v>0</v>
      </c>
      <c r="W261" s="7"/>
      <c r="X261" s="74"/>
      <c r="Y261" s="101">
        <f>IF(OR(W261="",X261=""),0,IFERROR(INDEX(#REF!,MATCH(W261,#REF!,0))*X261,0))</f>
        <v>0</v>
      </c>
      <c r="Z261" s="7"/>
      <c r="AA261" s="74"/>
      <c r="AB261" s="101">
        <f>IF(OR(Z261="",AA261=""),0,IFERROR(INDEX(#REF!,MATCH(Z261,#REF!,0))*AA261,0))</f>
        <v>0</v>
      </c>
      <c r="AC261" s="7"/>
      <c r="AD261" s="74"/>
      <c r="AE261" s="101">
        <f>IF(OR(AC261="",AD261=""),0,IFERROR(INDEX(#REF!,MATCH(AC261,#REF!,0))*AD261,0))</f>
        <v>0</v>
      </c>
      <c r="AF261" s="7"/>
      <c r="AG261" s="74"/>
      <c r="AH261" s="101">
        <f>IF(OR(AF261="",AG261=""),0,IFERROR(INDEX(#REF!,MATCH(AF261,#REF!,0))*AG261,0))</f>
        <v>0</v>
      </c>
      <c r="AI261" s="7"/>
      <c r="AJ261" s="74"/>
      <c r="AK261" s="101">
        <f>IF(OR(AI261="",AJ261=""),0,IFERROR(INDEX(#REF!,MATCH(AI261,#REF!,0))*AJ261,0))</f>
        <v>0</v>
      </c>
      <c r="AL261" s="101">
        <f t="shared" si="33"/>
        <v>0</v>
      </c>
      <c r="AM261" s="7"/>
      <c r="AN261" s="72"/>
      <c r="AO261" s="99">
        <f>IF(OR(AM261="",AN261=""),0,IFERROR(INDEX(#REF!,MATCH(AM261,#REF!,0))*AN261,0))</f>
        <v>0</v>
      </c>
      <c r="AP261" s="7"/>
      <c r="AQ261" s="74"/>
      <c r="AR261" s="99">
        <f>IF(OR(AP261="",AQ261=""),0,IFERROR(INDEX(#REF!,MATCH(AP261,#REF!,0))*AQ261,0))</f>
        <v>0</v>
      </c>
      <c r="AS261" s="7"/>
      <c r="AT261" s="74"/>
      <c r="AU261" s="99">
        <f>IF(OR(AS261="",AT261=""),0,IFERROR(INDEX(#REF!,MATCH(AS261,#REF!,0))*AT261,0))</f>
        <v>0</v>
      </c>
      <c r="AV261" s="7"/>
      <c r="AW261" s="74"/>
      <c r="AX261" s="99">
        <f>IF(OR(AV261="",AW261=""),0,IFERROR(INDEX(#REF!,MATCH(AV261,#REF!,0))*AW261,0))</f>
        <v>0</v>
      </c>
      <c r="AY261" s="7"/>
      <c r="AZ261" s="77"/>
      <c r="BA261" s="99">
        <f>IF(OR(AY261="",AZ261=""),0,IFERROR(INDEX(#REF!,MATCH(AY261,#REF!,0))*AZ261,0))</f>
        <v>0</v>
      </c>
      <c r="BB261" s="100">
        <f t="shared" si="34"/>
        <v>0</v>
      </c>
      <c r="BC261" s="110" t="str">
        <f t="shared" si="35"/>
        <v/>
      </c>
      <c r="BD261" s="62"/>
    </row>
    <row r="262" spans="1:56" ht="19.5" customHeight="1" x14ac:dyDescent="0.45">
      <c r="A262" s="104" t="str">
        <f t="shared" si="36"/>
        <v/>
      </c>
      <c r="B262" s="5"/>
      <c r="C262" s="109"/>
      <c r="D262" s="107"/>
      <c r="E262" s="6"/>
      <c r="F262" s="85"/>
      <c r="G262" s="85"/>
      <c r="H262" s="104" t="str">
        <f t="shared" si="37"/>
        <v/>
      </c>
      <c r="I262" s="103" t="str">
        <f>IFERROR(INDEX(#REF!,MATCH(E262,#REF!,0)),"")</f>
        <v/>
      </c>
      <c r="J262" s="6"/>
      <c r="K262" s="103" t="str">
        <f t="shared" si="38"/>
        <v/>
      </c>
      <c r="L262" s="8"/>
      <c r="M262" s="102" t="str">
        <f t="shared" si="39"/>
        <v/>
      </c>
      <c r="N262" s="9"/>
      <c r="O262" s="103" t="str">
        <f t="shared" si="40"/>
        <v/>
      </c>
      <c r="P262" s="6"/>
      <c r="Q262" s="7"/>
      <c r="R262" s="10"/>
      <c r="S262" s="29" t="str">
        <f t="shared" ref="S262:S325" ca="1" si="41">IF(AND(B262&lt;&gt;"",F262&lt;&gt;"",F262&gt;=TODAY(),F262&lt;=TODAY()+180,P262&lt;&gt;"Cancelled"),F262+ROW()/100000,"")</f>
        <v/>
      </c>
      <c r="T262" s="7"/>
      <c r="U262" s="74"/>
      <c r="V262" s="101">
        <f>IF(OR(T262="",U262=""),0,IFERROR(INDEX(#REF!,MATCH(T262,#REF!,0))*U262,0))</f>
        <v>0</v>
      </c>
      <c r="W262" s="7"/>
      <c r="X262" s="74"/>
      <c r="Y262" s="101">
        <f>IF(OR(W262="",X262=""),0,IFERROR(INDEX(#REF!,MATCH(W262,#REF!,0))*X262,0))</f>
        <v>0</v>
      </c>
      <c r="Z262" s="7"/>
      <c r="AA262" s="74"/>
      <c r="AB262" s="101">
        <f>IF(OR(Z262="",AA262=""),0,IFERROR(INDEX(#REF!,MATCH(Z262,#REF!,0))*AA262,0))</f>
        <v>0</v>
      </c>
      <c r="AC262" s="7"/>
      <c r="AD262" s="74"/>
      <c r="AE262" s="101">
        <f>IF(OR(AC262="",AD262=""),0,IFERROR(INDEX(#REF!,MATCH(AC262,#REF!,0))*AD262,0))</f>
        <v>0</v>
      </c>
      <c r="AF262" s="7"/>
      <c r="AG262" s="74"/>
      <c r="AH262" s="101">
        <f>IF(OR(AF262="",AG262=""),0,IFERROR(INDEX(#REF!,MATCH(AF262,#REF!,0))*AG262,0))</f>
        <v>0</v>
      </c>
      <c r="AI262" s="7"/>
      <c r="AJ262" s="74"/>
      <c r="AK262" s="101">
        <f>IF(OR(AI262="",AJ262=""),0,IFERROR(INDEX(#REF!,MATCH(AI262,#REF!,0))*AJ262,0))</f>
        <v>0</v>
      </c>
      <c r="AL262" s="101">
        <f t="shared" ref="AL262:AL325" si="42">SUM(V262+Y262+AB262+AE262+AH262+AK262)</f>
        <v>0</v>
      </c>
      <c r="AM262" s="7"/>
      <c r="AN262" s="72"/>
      <c r="AO262" s="99">
        <f>IF(OR(AM262="",AN262=""),0,IFERROR(INDEX(#REF!,MATCH(AM262,#REF!,0))*AN262,0))</f>
        <v>0</v>
      </c>
      <c r="AP262" s="7"/>
      <c r="AQ262" s="74"/>
      <c r="AR262" s="99">
        <f>IF(OR(AP262="",AQ262=""),0,IFERROR(INDEX(#REF!,MATCH(AP262,#REF!,0))*AQ262,0))</f>
        <v>0</v>
      </c>
      <c r="AS262" s="7"/>
      <c r="AT262" s="74"/>
      <c r="AU262" s="99">
        <f>IF(OR(AS262="",AT262=""),0,IFERROR(INDEX(#REF!,MATCH(AS262,#REF!,0))*AT262,0))</f>
        <v>0</v>
      </c>
      <c r="AV262" s="7"/>
      <c r="AW262" s="74"/>
      <c r="AX262" s="99">
        <f>IF(OR(AV262="",AW262=""),0,IFERROR(INDEX(#REF!,MATCH(AV262,#REF!,0))*AW262,0))</f>
        <v>0</v>
      </c>
      <c r="AY262" s="7"/>
      <c r="AZ262" s="77"/>
      <c r="BA262" s="99">
        <f>IF(OR(AY262="",AZ262=""),0,IFERROR(INDEX(#REF!,MATCH(AY262,#REF!,0))*AZ262,0))</f>
        <v>0</v>
      </c>
      <c r="BB262" s="100">
        <f t="shared" ref="BB262:BB325" si="43">SUM(AO262+AR262+AU262+AX262+BA262)</f>
        <v>0</v>
      </c>
      <c r="BC262" s="110" t="str">
        <f t="shared" ref="BC262:BC325" si="44">IF(ISNUMBER(M262),M262+AL262+BB262,"")</f>
        <v/>
      </c>
      <c r="BD262" s="62"/>
    </row>
    <row r="263" spans="1:56" ht="19.5" customHeight="1" x14ac:dyDescent="0.45">
      <c r="A263" s="104" t="str">
        <f t="shared" si="36"/>
        <v/>
      </c>
      <c r="B263" s="5"/>
      <c r="C263" s="109"/>
      <c r="D263" s="107"/>
      <c r="E263" s="6"/>
      <c r="F263" s="85"/>
      <c r="G263" s="85"/>
      <c r="H263" s="104" t="str">
        <f t="shared" si="37"/>
        <v/>
      </c>
      <c r="I263" s="103" t="str">
        <f>IFERROR(INDEX(#REF!,MATCH(E263,#REF!,0)),"")</f>
        <v/>
      </c>
      <c r="J263" s="6"/>
      <c r="K263" s="103" t="str">
        <f t="shared" si="38"/>
        <v/>
      </c>
      <c r="L263" s="8"/>
      <c r="M263" s="102" t="str">
        <f t="shared" si="39"/>
        <v/>
      </c>
      <c r="N263" s="9"/>
      <c r="O263" s="103" t="str">
        <f t="shared" si="40"/>
        <v/>
      </c>
      <c r="P263" s="6"/>
      <c r="Q263" s="7"/>
      <c r="R263" s="10"/>
      <c r="S263" s="29" t="str">
        <f t="shared" ca="1" si="41"/>
        <v/>
      </c>
      <c r="T263" s="7"/>
      <c r="U263" s="74"/>
      <c r="V263" s="101">
        <f>IF(OR(T263="",U263=""),0,IFERROR(INDEX(#REF!,MATCH(T263,#REF!,0))*U263,0))</f>
        <v>0</v>
      </c>
      <c r="W263" s="7"/>
      <c r="X263" s="74"/>
      <c r="Y263" s="101">
        <f>IF(OR(W263="",X263=""),0,IFERROR(INDEX(#REF!,MATCH(W263,#REF!,0))*X263,0))</f>
        <v>0</v>
      </c>
      <c r="Z263" s="7"/>
      <c r="AA263" s="74"/>
      <c r="AB263" s="101">
        <f>IF(OR(Z263="",AA263=""),0,IFERROR(INDEX(#REF!,MATCH(Z263,#REF!,0))*AA263,0))</f>
        <v>0</v>
      </c>
      <c r="AC263" s="7"/>
      <c r="AD263" s="74"/>
      <c r="AE263" s="101">
        <f>IF(OR(AC263="",AD263=""),0,IFERROR(INDEX(#REF!,MATCH(AC263,#REF!,0))*AD263,0))</f>
        <v>0</v>
      </c>
      <c r="AF263" s="7"/>
      <c r="AG263" s="74"/>
      <c r="AH263" s="101">
        <f>IF(OR(AF263="",AG263=""),0,IFERROR(INDEX(#REF!,MATCH(AF263,#REF!,0))*AG263,0))</f>
        <v>0</v>
      </c>
      <c r="AI263" s="7"/>
      <c r="AJ263" s="74"/>
      <c r="AK263" s="101">
        <f>IF(OR(AI263="",AJ263=""),0,IFERROR(INDEX(#REF!,MATCH(AI263,#REF!,0))*AJ263,0))</f>
        <v>0</v>
      </c>
      <c r="AL263" s="101">
        <f t="shared" si="42"/>
        <v>0</v>
      </c>
      <c r="AM263" s="7"/>
      <c r="AN263" s="72"/>
      <c r="AO263" s="99">
        <f>IF(OR(AM263="",AN263=""),0,IFERROR(INDEX(#REF!,MATCH(AM263,#REF!,0))*AN263,0))</f>
        <v>0</v>
      </c>
      <c r="AP263" s="7"/>
      <c r="AQ263" s="74"/>
      <c r="AR263" s="99">
        <f>IF(OR(AP263="",AQ263=""),0,IFERROR(INDEX(#REF!,MATCH(AP263,#REF!,0))*AQ263,0))</f>
        <v>0</v>
      </c>
      <c r="AS263" s="7"/>
      <c r="AT263" s="74"/>
      <c r="AU263" s="99">
        <f>IF(OR(AS263="",AT263=""),0,IFERROR(INDEX(#REF!,MATCH(AS263,#REF!,0))*AT263,0))</f>
        <v>0</v>
      </c>
      <c r="AV263" s="7"/>
      <c r="AW263" s="74"/>
      <c r="AX263" s="99">
        <f>IF(OR(AV263="",AW263=""),0,IFERROR(INDEX(#REF!,MATCH(AV263,#REF!,0))*AW263,0))</f>
        <v>0</v>
      </c>
      <c r="AY263" s="7"/>
      <c r="AZ263" s="77"/>
      <c r="BA263" s="99">
        <f>IF(OR(AY263="",AZ263=""),0,IFERROR(INDEX(#REF!,MATCH(AY263,#REF!,0))*AZ263,0))</f>
        <v>0</v>
      </c>
      <c r="BB263" s="100">
        <f t="shared" si="43"/>
        <v>0</v>
      </c>
      <c r="BC263" s="110" t="str">
        <f t="shared" si="44"/>
        <v/>
      </c>
      <c r="BD263" s="62"/>
    </row>
    <row r="264" spans="1:56" ht="19.5" customHeight="1" x14ac:dyDescent="0.45">
      <c r="A264" s="104" t="str">
        <f t="shared" si="36"/>
        <v/>
      </c>
      <c r="B264" s="5"/>
      <c r="C264" s="109"/>
      <c r="D264" s="107"/>
      <c r="E264" s="6"/>
      <c r="F264" s="85"/>
      <c r="G264" s="85"/>
      <c r="H264" s="104" t="str">
        <f t="shared" si="37"/>
        <v/>
      </c>
      <c r="I264" s="103" t="str">
        <f>IFERROR(INDEX(#REF!,MATCH(E264,#REF!,0)),"")</f>
        <v/>
      </c>
      <c r="J264" s="6"/>
      <c r="K264" s="103" t="str">
        <f t="shared" si="38"/>
        <v/>
      </c>
      <c r="L264" s="8"/>
      <c r="M264" s="102" t="str">
        <f t="shared" si="39"/>
        <v/>
      </c>
      <c r="N264" s="9"/>
      <c r="O264" s="103" t="str">
        <f t="shared" si="40"/>
        <v/>
      </c>
      <c r="P264" s="6"/>
      <c r="Q264" s="7"/>
      <c r="R264" s="10"/>
      <c r="S264" s="29" t="str">
        <f t="shared" ca="1" si="41"/>
        <v/>
      </c>
      <c r="T264" s="7"/>
      <c r="U264" s="74"/>
      <c r="V264" s="101">
        <f>IF(OR(T264="",U264=""),0,IFERROR(INDEX(#REF!,MATCH(T264,#REF!,0))*U264,0))</f>
        <v>0</v>
      </c>
      <c r="W264" s="7"/>
      <c r="X264" s="74"/>
      <c r="Y264" s="101">
        <f>IF(OR(W264="",X264=""),0,IFERROR(INDEX(#REF!,MATCH(W264,#REF!,0))*X264,0))</f>
        <v>0</v>
      </c>
      <c r="Z264" s="7"/>
      <c r="AA264" s="74"/>
      <c r="AB264" s="101">
        <f>IF(OR(Z264="",AA264=""),0,IFERROR(INDEX(#REF!,MATCH(Z264,#REF!,0))*AA264,0))</f>
        <v>0</v>
      </c>
      <c r="AC264" s="7"/>
      <c r="AD264" s="74"/>
      <c r="AE264" s="101">
        <f>IF(OR(AC264="",AD264=""),0,IFERROR(INDEX(#REF!,MATCH(AC264,#REF!,0))*AD264,0))</f>
        <v>0</v>
      </c>
      <c r="AF264" s="7"/>
      <c r="AG264" s="74"/>
      <c r="AH264" s="101">
        <f>IF(OR(AF264="",AG264=""),0,IFERROR(INDEX(#REF!,MATCH(AF264,#REF!,0))*AG264,0))</f>
        <v>0</v>
      </c>
      <c r="AI264" s="7"/>
      <c r="AJ264" s="74"/>
      <c r="AK264" s="101">
        <f>IF(OR(AI264="",AJ264=""),0,IFERROR(INDEX(#REF!,MATCH(AI264,#REF!,0))*AJ264,0))</f>
        <v>0</v>
      </c>
      <c r="AL264" s="101">
        <f t="shared" si="42"/>
        <v>0</v>
      </c>
      <c r="AM264" s="7"/>
      <c r="AN264" s="72"/>
      <c r="AO264" s="99">
        <f>IF(OR(AM264="",AN264=""),0,IFERROR(INDEX(#REF!,MATCH(AM264,#REF!,0))*AN264,0))</f>
        <v>0</v>
      </c>
      <c r="AP264" s="7"/>
      <c r="AQ264" s="74"/>
      <c r="AR264" s="99">
        <f>IF(OR(AP264="",AQ264=""),0,IFERROR(INDEX(#REF!,MATCH(AP264,#REF!,0))*AQ264,0))</f>
        <v>0</v>
      </c>
      <c r="AS264" s="7"/>
      <c r="AT264" s="74"/>
      <c r="AU264" s="99">
        <f>IF(OR(AS264="",AT264=""),0,IFERROR(INDEX(#REF!,MATCH(AS264,#REF!,0))*AT264,0))</f>
        <v>0</v>
      </c>
      <c r="AV264" s="7"/>
      <c r="AW264" s="74"/>
      <c r="AX264" s="99">
        <f>IF(OR(AV264="",AW264=""),0,IFERROR(INDEX(#REF!,MATCH(AV264,#REF!,0))*AW264,0))</f>
        <v>0</v>
      </c>
      <c r="AY264" s="7"/>
      <c r="AZ264" s="77"/>
      <c r="BA264" s="99">
        <f>IF(OR(AY264="",AZ264=""),0,IFERROR(INDEX(#REF!,MATCH(AY264,#REF!,0))*AZ264,0))</f>
        <v>0</v>
      </c>
      <c r="BB264" s="100">
        <f t="shared" si="43"/>
        <v>0</v>
      </c>
      <c r="BC264" s="110" t="str">
        <f t="shared" si="44"/>
        <v/>
      </c>
      <c r="BD264" s="62"/>
    </row>
    <row r="265" spans="1:56" ht="19.5" customHeight="1" x14ac:dyDescent="0.45">
      <c r="A265" s="104" t="str">
        <f t="shared" si="36"/>
        <v/>
      </c>
      <c r="B265" s="5"/>
      <c r="C265" s="109"/>
      <c r="D265" s="107"/>
      <c r="E265" s="6"/>
      <c r="F265" s="85"/>
      <c r="G265" s="85"/>
      <c r="H265" s="104" t="str">
        <f t="shared" si="37"/>
        <v/>
      </c>
      <c r="I265" s="103" t="str">
        <f>IFERROR(INDEX(#REF!,MATCH(E265,#REF!,0)),"")</f>
        <v/>
      </c>
      <c r="J265" s="6"/>
      <c r="K265" s="103" t="str">
        <f t="shared" si="38"/>
        <v/>
      </c>
      <c r="L265" s="8"/>
      <c r="M265" s="102" t="str">
        <f t="shared" si="39"/>
        <v/>
      </c>
      <c r="N265" s="9"/>
      <c r="O265" s="103" t="str">
        <f t="shared" si="40"/>
        <v/>
      </c>
      <c r="P265" s="6"/>
      <c r="Q265" s="7"/>
      <c r="R265" s="10"/>
      <c r="S265" s="29" t="str">
        <f t="shared" ca="1" si="41"/>
        <v/>
      </c>
      <c r="T265" s="7"/>
      <c r="U265" s="74"/>
      <c r="V265" s="101">
        <f>IF(OR(T265="",U265=""),0,IFERROR(INDEX(#REF!,MATCH(T265,#REF!,0))*U265,0))</f>
        <v>0</v>
      </c>
      <c r="W265" s="7"/>
      <c r="X265" s="74"/>
      <c r="Y265" s="101">
        <f>IF(OR(W265="",X265=""),0,IFERROR(INDEX(#REF!,MATCH(W265,#REF!,0))*X265,0))</f>
        <v>0</v>
      </c>
      <c r="Z265" s="7"/>
      <c r="AA265" s="74"/>
      <c r="AB265" s="101">
        <f>IF(OR(Z265="",AA265=""),0,IFERROR(INDEX(#REF!,MATCH(Z265,#REF!,0))*AA265,0))</f>
        <v>0</v>
      </c>
      <c r="AC265" s="7"/>
      <c r="AD265" s="74"/>
      <c r="AE265" s="101">
        <f>IF(OR(AC265="",AD265=""),0,IFERROR(INDEX(#REF!,MATCH(AC265,#REF!,0))*AD265,0))</f>
        <v>0</v>
      </c>
      <c r="AF265" s="7"/>
      <c r="AG265" s="74"/>
      <c r="AH265" s="101">
        <f>IF(OR(AF265="",AG265=""),0,IFERROR(INDEX(#REF!,MATCH(AF265,#REF!,0))*AG265,0))</f>
        <v>0</v>
      </c>
      <c r="AI265" s="7"/>
      <c r="AJ265" s="74"/>
      <c r="AK265" s="101">
        <f>IF(OR(AI265="",AJ265=""),0,IFERROR(INDEX(#REF!,MATCH(AI265,#REF!,0))*AJ265,0))</f>
        <v>0</v>
      </c>
      <c r="AL265" s="101">
        <f t="shared" si="42"/>
        <v>0</v>
      </c>
      <c r="AM265" s="7"/>
      <c r="AN265" s="72"/>
      <c r="AO265" s="99">
        <f>IF(OR(AM265="",AN265=""),0,IFERROR(INDEX(#REF!,MATCH(AM265,#REF!,0))*AN265,0))</f>
        <v>0</v>
      </c>
      <c r="AP265" s="7"/>
      <c r="AQ265" s="74"/>
      <c r="AR265" s="99">
        <f>IF(OR(AP265="",AQ265=""),0,IFERROR(INDEX(#REF!,MATCH(AP265,#REF!,0))*AQ265,0))</f>
        <v>0</v>
      </c>
      <c r="AS265" s="7"/>
      <c r="AT265" s="74"/>
      <c r="AU265" s="99">
        <f>IF(OR(AS265="",AT265=""),0,IFERROR(INDEX(#REF!,MATCH(AS265,#REF!,0))*AT265,0))</f>
        <v>0</v>
      </c>
      <c r="AV265" s="7"/>
      <c r="AW265" s="74"/>
      <c r="AX265" s="99">
        <f>IF(OR(AV265="",AW265=""),0,IFERROR(INDEX(#REF!,MATCH(AV265,#REF!,0))*AW265,0))</f>
        <v>0</v>
      </c>
      <c r="AY265" s="7"/>
      <c r="AZ265" s="77"/>
      <c r="BA265" s="99">
        <f>IF(OR(AY265="",AZ265=""),0,IFERROR(INDEX(#REF!,MATCH(AY265,#REF!,0))*AZ265,0))</f>
        <v>0</v>
      </c>
      <c r="BB265" s="100">
        <f t="shared" si="43"/>
        <v>0</v>
      </c>
      <c r="BC265" s="110" t="str">
        <f t="shared" si="44"/>
        <v/>
      </c>
      <c r="BD265" s="62"/>
    </row>
    <row r="266" spans="1:56" ht="19.5" customHeight="1" x14ac:dyDescent="0.45">
      <c r="A266" s="104" t="str">
        <f t="shared" si="36"/>
        <v/>
      </c>
      <c r="B266" s="5"/>
      <c r="C266" s="109"/>
      <c r="D266" s="107"/>
      <c r="E266" s="6"/>
      <c r="F266" s="85"/>
      <c r="G266" s="85"/>
      <c r="H266" s="104" t="str">
        <f t="shared" si="37"/>
        <v/>
      </c>
      <c r="I266" s="103" t="str">
        <f>IFERROR(INDEX(#REF!,MATCH(E266,#REF!,0)),"")</f>
        <v/>
      </c>
      <c r="J266" s="6"/>
      <c r="K266" s="103" t="str">
        <f t="shared" si="38"/>
        <v/>
      </c>
      <c r="L266" s="8"/>
      <c r="M266" s="102" t="str">
        <f t="shared" si="39"/>
        <v/>
      </c>
      <c r="N266" s="9"/>
      <c r="O266" s="103" t="str">
        <f t="shared" si="40"/>
        <v/>
      </c>
      <c r="P266" s="6"/>
      <c r="Q266" s="7"/>
      <c r="R266" s="10"/>
      <c r="S266" s="29" t="str">
        <f t="shared" ca="1" si="41"/>
        <v/>
      </c>
      <c r="T266" s="7"/>
      <c r="U266" s="74"/>
      <c r="V266" s="101">
        <f>IF(OR(T266="",U266=""),0,IFERROR(INDEX(#REF!,MATCH(T266,#REF!,0))*U266,0))</f>
        <v>0</v>
      </c>
      <c r="W266" s="7"/>
      <c r="X266" s="74"/>
      <c r="Y266" s="101">
        <f>IF(OR(W266="",X266=""),0,IFERROR(INDEX(#REF!,MATCH(W266,#REF!,0))*X266,0))</f>
        <v>0</v>
      </c>
      <c r="Z266" s="7"/>
      <c r="AA266" s="74"/>
      <c r="AB266" s="101">
        <f>IF(OR(Z266="",AA266=""),0,IFERROR(INDEX(#REF!,MATCH(Z266,#REF!,0))*AA266,0))</f>
        <v>0</v>
      </c>
      <c r="AC266" s="7"/>
      <c r="AD266" s="74"/>
      <c r="AE266" s="101">
        <f>IF(OR(AC266="",AD266=""),0,IFERROR(INDEX(#REF!,MATCH(AC266,#REF!,0))*AD266,0))</f>
        <v>0</v>
      </c>
      <c r="AF266" s="7"/>
      <c r="AG266" s="74"/>
      <c r="AH266" s="101">
        <f>IF(OR(AF266="",AG266=""),0,IFERROR(INDEX(#REF!,MATCH(AF266,#REF!,0))*AG266,0))</f>
        <v>0</v>
      </c>
      <c r="AI266" s="7"/>
      <c r="AJ266" s="74"/>
      <c r="AK266" s="101">
        <f>IF(OR(AI266="",AJ266=""),0,IFERROR(INDEX(#REF!,MATCH(AI266,#REF!,0))*AJ266,0))</f>
        <v>0</v>
      </c>
      <c r="AL266" s="101">
        <f t="shared" si="42"/>
        <v>0</v>
      </c>
      <c r="AM266" s="7"/>
      <c r="AN266" s="72"/>
      <c r="AO266" s="99">
        <f>IF(OR(AM266="",AN266=""),0,IFERROR(INDEX(#REF!,MATCH(AM266,#REF!,0))*AN266,0))</f>
        <v>0</v>
      </c>
      <c r="AP266" s="7"/>
      <c r="AQ266" s="74"/>
      <c r="AR266" s="99">
        <f>IF(OR(AP266="",AQ266=""),0,IFERROR(INDEX(#REF!,MATCH(AP266,#REF!,0))*AQ266,0))</f>
        <v>0</v>
      </c>
      <c r="AS266" s="7"/>
      <c r="AT266" s="74"/>
      <c r="AU266" s="99">
        <f>IF(OR(AS266="",AT266=""),0,IFERROR(INDEX(#REF!,MATCH(AS266,#REF!,0))*AT266,0))</f>
        <v>0</v>
      </c>
      <c r="AV266" s="7"/>
      <c r="AW266" s="74"/>
      <c r="AX266" s="99">
        <f>IF(OR(AV266="",AW266=""),0,IFERROR(INDEX(#REF!,MATCH(AV266,#REF!,0))*AW266,0))</f>
        <v>0</v>
      </c>
      <c r="AY266" s="7"/>
      <c r="AZ266" s="77"/>
      <c r="BA266" s="99">
        <f>IF(OR(AY266="",AZ266=""),0,IFERROR(INDEX(#REF!,MATCH(AY266,#REF!,0))*AZ266,0))</f>
        <v>0</v>
      </c>
      <c r="BB266" s="100">
        <f t="shared" si="43"/>
        <v>0</v>
      </c>
      <c r="BC266" s="110" t="str">
        <f t="shared" si="44"/>
        <v/>
      </c>
      <c r="BD266" s="62"/>
    </row>
    <row r="267" spans="1:56" ht="19.5" customHeight="1" x14ac:dyDescent="0.45">
      <c r="A267" s="104" t="str">
        <f t="shared" si="36"/>
        <v/>
      </c>
      <c r="B267" s="5"/>
      <c r="C267" s="109"/>
      <c r="D267" s="107"/>
      <c r="E267" s="6"/>
      <c r="F267" s="85"/>
      <c r="G267" s="85"/>
      <c r="H267" s="104" t="str">
        <f t="shared" si="37"/>
        <v/>
      </c>
      <c r="I267" s="103" t="str">
        <f>IFERROR(INDEX(#REF!,MATCH(E267,#REF!,0)),"")</f>
        <v/>
      </c>
      <c r="J267" s="6"/>
      <c r="K267" s="103" t="str">
        <f t="shared" si="38"/>
        <v/>
      </c>
      <c r="L267" s="8"/>
      <c r="M267" s="102" t="str">
        <f t="shared" si="39"/>
        <v/>
      </c>
      <c r="N267" s="9"/>
      <c r="O267" s="103" t="str">
        <f t="shared" si="40"/>
        <v/>
      </c>
      <c r="P267" s="6"/>
      <c r="Q267" s="7"/>
      <c r="R267" s="10"/>
      <c r="S267" s="29" t="str">
        <f t="shared" ca="1" si="41"/>
        <v/>
      </c>
      <c r="T267" s="7"/>
      <c r="U267" s="74"/>
      <c r="V267" s="101">
        <f>IF(OR(T267="",U267=""),0,IFERROR(INDEX(#REF!,MATCH(T267,#REF!,0))*U267,0))</f>
        <v>0</v>
      </c>
      <c r="W267" s="7"/>
      <c r="X267" s="74"/>
      <c r="Y267" s="101">
        <f>IF(OR(W267="",X267=""),0,IFERROR(INDEX(#REF!,MATCH(W267,#REF!,0))*X267,0))</f>
        <v>0</v>
      </c>
      <c r="Z267" s="7"/>
      <c r="AA267" s="74"/>
      <c r="AB267" s="101">
        <f>IF(OR(Z267="",AA267=""),0,IFERROR(INDEX(#REF!,MATCH(Z267,#REF!,0))*AA267,0))</f>
        <v>0</v>
      </c>
      <c r="AC267" s="7"/>
      <c r="AD267" s="74"/>
      <c r="AE267" s="101">
        <f>IF(OR(AC267="",AD267=""),0,IFERROR(INDEX(#REF!,MATCH(AC267,#REF!,0))*AD267,0))</f>
        <v>0</v>
      </c>
      <c r="AF267" s="7"/>
      <c r="AG267" s="74"/>
      <c r="AH267" s="101">
        <f>IF(OR(AF267="",AG267=""),0,IFERROR(INDEX(#REF!,MATCH(AF267,#REF!,0))*AG267,0))</f>
        <v>0</v>
      </c>
      <c r="AI267" s="7"/>
      <c r="AJ267" s="74"/>
      <c r="AK267" s="101">
        <f>IF(OR(AI267="",AJ267=""),0,IFERROR(INDEX(#REF!,MATCH(AI267,#REF!,0))*AJ267,0))</f>
        <v>0</v>
      </c>
      <c r="AL267" s="101">
        <f t="shared" si="42"/>
        <v>0</v>
      </c>
      <c r="AM267" s="7"/>
      <c r="AN267" s="72"/>
      <c r="AO267" s="99">
        <f>IF(OR(AM267="",AN267=""),0,IFERROR(INDEX(#REF!,MATCH(AM267,#REF!,0))*AN267,0))</f>
        <v>0</v>
      </c>
      <c r="AP267" s="7"/>
      <c r="AQ267" s="74"/>
      <c r="AR267" s="99">
        <f>IF(OR(AP267="",AQ267=""),0,IFERROR(INDEX(#REF!,MATCH(AP267,#REF!,0))*AQ267,0))</f>
        <v>0</v>
      </c>
      <c r="AS267" s="7"/>
      <c r="AT267" s="74"/>
      <c r="AU267" s="99">
        <f>IF(OR(AS267="",AT267=""),0,IFERROR(INDEX(#REF!,MATCH(AS267,#REF!,0))*AT267,0))</f>
        <v>0</v>
      </c>
      <c r="AV267" s="7"/>
      <c r="AW267" s="74"/>
      <c r="AX267" s="99">
        <f>IF(OR(AV267="",AW267=""),0,IFERROR(INDEX(#REF!,MATCH(AV267,#REF!,0))*AW267,0))</f>
        <v>0</v>
      </c>
      <c r="AY267" s="7"/>
      <c r="AZ267" s="77"/>
      <c r="BA267" s="99">
        <f>IF(OR(AY267="",AZ267=""),0,IFERROR(INDEX(#REF!,MATCH(AY267,#REF!,0))*AZ267,0))</f>
        <v>0</v>
      </c>
      <c r="BB267" s="100">
        <f t="shared" si="43"/>
        <v>0</v>
      </c>
      <c r="BC267" s="110" t="str">
        <f t="shared" si="44"/>
        <v/>
      </c>
      <c r="BD267" s="62"/>
    </row>
    <row r="268" spans="1:56" ht="19.5" customHeight="1" x14ac:dyDescent="0.45">
      <c r="A268" s="104" t="str">
        <f t="shared" si="36"/>
        <v/>
      </c>
      <c r="B268" s="5"/>
      <c r="C268" s="109"/>
      <c r="D268" s="107"/>
      <c r="E268" s="6"/>
      <c r="F268" s="85"/>
      <c r="G268" s="85"/>
      <c r="H268" s="104" t="str">
        <f t="shared" si="37"/>
        <v/>
      </c>
      <c r="I268" s="103" t="str">
        <f>IFERROR(INDEX(#REF!,MATCH(E268,#REF!,0)),"")</f>
        <v/>
      </c>
      <c r="J268" s="6"/>
      <c r="K268" s="103" t="str">
        <f t="shared" si="38"/>
        <v/>
      </c>
      <c r="L268" s="8"/>
      <c r="M268" s="102" t="str">
        <f t="shared" si="39"/>
        <v/>
      </c>
      <c r="N268" s="9"/>
      <c r="O268" s="103" t="str">
        <f t="shared" si="40"/>
        <v/>
      </c>
      <c r="P268" s="6"/>
      <c r="Q268" s="7"/>
      <c r="R268" s="10"/>
      <c r="S268" s="29" t="str">
        <f t="shared" ca="1" si="41"/>
        <v/>
      </c>
      <c r="T268" s="7"/>
      <c r="U268" s="74"/>
      <c r="V268" s="101">
        <f>IF(OR(T268="",U268=""),0,IFERROR(INDEX(#REF!,MATCH(T268,#REF!,0))*U268,0))</f>
        <v>0</v>
      </c>
      <c r="W268" s="7"/>
      <c r="X268" s="74"/>
      <c r="Y268" s="101">
        <f>IF(OR(W268="",X268=""),0,IFERROR(INDEX(#REF!,MATCH(W268,#REF!,0))*X268,0))</f>
        <v>0</v>
      </c>
      <c r="Z268" s="7"/>
      <c r="AA268" s="74"/>
      <c r="AB268" s="101">
        <f>IF(OR(Z268="",AA268=""),0,IFERROR(INDEX(#REF!,MATCH(Z268,#REF!,0))*AA268,0))</f>
        <v>0</v>
      </c>
      <c r="AC268" s="7"/>
      <c r="AD268" s="74"/>
      <c r="AE268" s="101">
        <f>IF(OR(AC268="",AD268=""),0,IFERROR(INDEX(#REF!,MATCH(AC268,#REF!,0))*AD268,0))</f>
        <v>0</v>
      </c>
      <c r="AF268" s="7"/>
      <c r="AG268" s="74"/>
      <c r="AH268" s="101">
        <f>IF(OR(AF268="",AG268=""),0,IFERROR(INDEX(#REF!,MATCH(AF268,#REF!,0))*AG268,0))</f>
        <v>0</v>
      </c>
      <c r="AI268" s="7"/>
      <c r="AJ268" s="74"/>
      <c r="AK268" s="101">
        <f>IF(OR(AI268="",AJ268=""),0,IFERROR(INDEX(#REF!,MATCH(AI268,#REF!,0))*AJ268,0))</f>
        <v>0</v>
      </c>
      <c r="AL268" s="101">
        <f t="shared" si="42"/>
        <v>0</v>
      </c>
      <c r="AM268" s="7"/>
      <c r="AN268" s="72"/>
      <c r="AO268" s="99">
        <f>IF(OR(AM268="",AN268=""),0,IFERROR(INDEX(#REF!,MATCH(AM268,#REF!,0))*AN268,0))</f>
        <v>0</v>
      </c>
      <c r="AP268" s="7"/>
      <c r="AQ268" s="74"/>
      <c r="AR268" s="99">
        <f>IF(OR(AP268="",AQ268=""),0,IFERROR(INDEX(#REF!,MATCH(AP268,#REF!,0))*AQ268,0))</f>
        <v>0</v>
      </c>
      <c r="AS268" s="7"/>
      <c r="AT268" s="74"/>
      <c r="AU268" s="99">
        <f>IF(OR(AS268="",AT268=""),0,IFERROR(INDEX(#REF!,MATCH(AS268,#REF!,0))*AT268,0))</f>
        <v>0</v>
      </c>
      <c r="AV268" s="7"/>
      <c r="AW268" s="74"/>
      <c r="AX268" s="99">
        <f>IF(OR(AV268="",AW268=""),0,IFERROR(INDEX(#REF!,MATCH(AV268,#REF!,0))*AW268,0))</f>
        <v>0</v>
      </c>
      <c r="AY268" s="7"/>
      <c r="AZ268" s="77"/>
      <c r="BA268" s="99">
        <f>IF(OR(AY268="",AZ268=""),0,IFERROR(INDEX(#REF!,MATCH(AY268,#REF!,0))*AZ268,0))</f>
        <v>0</v>
      </c>
      <c r="BB268" s="100">
        <f t="shared" si="43"/>
        <v>0</v>
      </c>
      <c r="BC268" s="110" t="str">
        <f t="shared" si="44"/>
        <v/>
      </c>
      <c r="BD268" s="62"/>
    </row>
    <row r="269" spans="1:56" ht="19.5" customHeight="1" x14ac:dyDescent="0.45">
      <c r="A269" s="104" t="str">
        <f t="shared" si="36"/>
        <v/>
      </c>
      <c r="B269" s="5"/>
      <c r="C269" s="109"/>
      <c r="D269" s="107"/>
      <c r="E269" s="6"/>
      <c r="F269" s="85"/>
      <c r="G269" s="85"/>
      <c r="H269" s="104" t="str">
        <f t="shared" si="37"/>
        <v/>
      </c>
      <c r="I269" s="103" t="str">
        <f>IFERROR(INDEX(#REF!,MATCH(E269,#REF!,0)),"")</f>
        <v/>
      </c>
      <c r="J269" s="6"/>
      <c r="K269" s="103" t="str">
        <f t="shared" si="38"/>
        <v/>
      </c>
      <c r="L269" s="8"/>
      <c r="M269" s="102" t="str">
        <f t="shared" si="39"/>
        <v/>
      </c>
      <c r="N269" s="9"/>
      <c r="O269" s="103" t="str">
        <f t="shared" si="40"/>
        <v/>
      </c>
      <c r="P269" s="6"/>
      <c r="Q269" s="7"/>
      <c r="R269" s="10"/>
      <c r="S269" s="29" t="str">
        <f t="shared" ca="1" si="41"/>
        <v/>
      </c>
      <c r="T269" s="7"/>
      <c r="U269" s="74"/>
      <c r="V269" s="101">
        <f>IF(OR(T269="",U269=""),0,IFERROR(INDEX(#REF!,MATCH(T269,#REF!,0))*U269,0))</f>
        <v>0</v>
      </c>
      <c r="W269" s="7"/>
      <c r="X269" s="74"/>
      <c r="Y269" s="101">
        <f>IF(OR(W269="",X269=""),0,IFERROR(INDEX(#REF!,MATCH(W269,#REF!,0))*X269,0))</f>
        <v>0</v>
      </c>
      <c r="Z269" s="7"/>
      <c r="AA269" s="74"/>
      <c r="AB269" s="101">
        <f>IF(OR(Z269="",AA269=""),0,IFERROR(INDEX(#REF!,MATCH(Z269,#REF!,0))*AA269,0))</f>
        <v>0</v>
      </c>
      <c r="AC269" s="7"/>
      <c r="AD269" s="74"/>
      <c r="AE269" s="101">
        <f>IF(OR(AC269="",AD269=""),0,IFERROR(INDEX(#REF!,MATCH(AC269,#REF!,0))*AD269,0))</f>
        <v>0</v>
      </c>
      <c r="AF269" s="7"/>
      <c r="AG269" s="74"/>
      <c r="AH269" s="101">
        <f>IF(OR(AF269="",AG269=""),0,IFERROR(INDEX(#REF!,MATCH(AF269,#REF!,0))*AG269,0))</f>
        <v>0</v>
      </c>
      <c r="AI269" s="7"/>
      <c r="AJ269" s="74"/>
      <c r="AK269" s="101">
        <f>IF(OR(AI269="",AJ269=""),0,IFERROR(INDEX(#REF!,MATCH(AI269,#REF!,0))*AJ269,0))</f>
        <v>0</v>
      </c>
      <c r="AL269" s="101">
        <f t="shared" si="42"/>
        <v>0</v>
      </c>
      <c r="AM269" s="7"/>
      <c r="AN269" s="72"/>
      <c r="AO269" s="99">
        <f>IF(OR(AM269="",AN269=""),0,IFERROR(INDEX(#REF!,MATCH(AM269,#REF!,0))*AN269,0))</f>
        <v>0</v>
      </c>
      <c r="AP269" s="7"/>
      <c r="AQ269" s="74"/>
      <c r="AR269" s="99">
        <f>IF(OR(AP269="",AQ269=""),0,IFERROR(INDEX(#REF!,MATCH(AP269,#REF!,0))*AQ269,0))</f>
        <v>0</v>
      </c>
      <c r="AS269" s="7"/>
      <c r="AT269" s="74"/>
      <c r="AU269" s="99">
        <f>IF(OR(AS269="",AT269=""),0,IFERROR(INDEX(#REF!,MATCH(AS269,#REF!,0))*AT269,0))</f>
        <v>0</v>
      </c>
      <c r="AV269" s="7"/>
      <c r="AW269" s="74"/>
      <c r="AX269" s="99">
        <f>IF(OR(AV269="",AW269=""),0,IFERROR(INDEX(#REF!,MATCH(AV269,#REF!,0))*AW269,0))</f>
        <v>0</v>
      </c>
      <c r="AY269" s="7"/>
      <c r="AZ269" s="77"/>
      <c r="BA269" s="99">
        <f>IF(OR(AY269="",AZ269=""),0,IFERROR(INDEX(#REF!,MATCH(AY269,#REF!,0))*AZ269,0))</f>
        <v>0</v>
      </c>
      <c r="BB269" s="100">
        <f t="shared" si="43"/>
        <v>0</v>
      </c>
      <c r="BC269" s="110" t="str">
        <f t="shared" si="44"/>
        <v/>
      </c>
      <c r="BD269" s="62"/>
    </row>
    <row r="270" spans="1:56" ht="19.5" customHeight="1" x14ac:dyDescent="0.45">
      <c r="A270" s="104" t="str">
        <f t="shared" si="36"/>
        <v/>
      </c>
      <c r="B270" s="5"/>
      <c r="C270" s="109"/>
      <c r="D270" s="107"/>
      <c r="E270" s="6"/>
      <c r="F270" s="85"/>
      <c r="G270" s="85"/>
      <c r="H270" s="104" t="str">
        <f t="shared" si="37"/>
        <v/>
      </c>
      <c r="I270" s="103" t="str">
        <f>IFERROR(INDEX(#REF!,MATCH(E270,#REF!,0)),"")</f>
        <v/>
      </c>
      <c r="J270" s="6"/>
      <c r="K270" s="103" t="str">
        <f t="shared" si="38"/>
        <v/>
      </c>
      <c r="L270" s="8"/>
      <c r="M270" s="102" t="str">
        <f t="shared" si="39"/>
        <v/>
      </c>
      <c r="N270" s="9"/>
      <c r="O270" s="103" t="str">
        <f t="shared" si="40"/>
        <v/>
      </c>
      <c r="P270" s="6"/>
      <c r="Q270" s="7"/>
      <c r="R270" s="10"/>
      <c r="S270" s="29" t="str">
        <f t="shared" ca="1" si="41"/>
        <v/>
      </c>
      <c r="T270" s="7"/>
      <c r="U270" s="74"/>
      <c r="V270" s="101">
        <f>IF(OR(T270="",U270=""),0,IFERROR(INDEX(#REF!,MATCH(T270,#REF!,0))*U270,0))</f>
        <v>0</v>
      </c>
      <c r="W270" s="7"/>
      <c r="X270" s="74"/>
      <c r="Y270" s="101">
        <f>IF(OR(W270="",X270=""),0,IFERROR(INDEX(#REF!,MATCH(W270,#REF!,0))*X270,0))</f>
        <v>0</v>
      </c>
      <c r="Z270" s="7"/>
      <c r="AA270" s="74"/>
      <c r="AB270" s="101">
        <f>IF(OR(Z270="",AA270=""),0,IFERROR(INDEX(#REF!,MATCH(Z270,#REF!,0))*AA270,0))</f>
        <v>0</v>
      </c>
      <c r="AC270" s="7"/>
      <c r="AD270" s="74"/>
      <c r="AE270" s="101">
        <f>IF(OR(AC270="",AD270=""),0,IFERROR(INDEX(#REF!,MATCH(AC270,#REF!,0))*AD270,0))</f>
        <v>0</v>
      </c>
      <c r="AF270" s="7"/>
      <c r="AG270" s="74"/>
      <c r="AH270" s="101">
        <f>IF(OR(AF270="",AG270=""),0,IFERROR(INDEX(#REF!,MATCH(AF270,#REF!,0))*AG270,0))</f>
        <v>0</v>
      </c>
      <c r="AI270" s="7"/>
      <c r="AJ270" s="74"/>
      <c r="AK270" s="101">
        <f>IF(OR(AI270="",AJ270=""),0,IFERROR(INDEX(#REF!,MATCH(AI270,#REF!,0))*AJ270,0))</f>
        <v>0</v>
      </c>
      <c r="AL270" s="101">
        <f t="shared" si="42"/>
        <v>0</v>
      </c>
      <c r="AM270" s="7"/>
      <c r="AN270" s="72"/>
      <c r="AO270" s="99">
        <f>IF(OR(AM270="",AN270=""),0,IFERROR(INDEX(#REF!,MATCH(AM270,#REF!,0))*AN270,0))</f>
        <v>0</v>
      </c>
      <c r="AP270" s="7"/>
      <c r="AQ270" s="74"/>
      <c r="AR270" s="99">
        <f>IF(OR(AP270="",AQ270=""),0,IFERROR(INDEX(#REF!,MATCH(AP270,#REF!,0))*AQ270,0))</f>
        <v>0</v>
      </c>
      <c r="AS270" s="7"/>
      <c r="AT270" s="74"/>
      <c r="AU270" s="99">
        <f>IF(OR(AS270="",AT270=""),0,IFERROR(INDEX(#REF!,MATCH(AS270,#REF!,0))*AT270,0))</f>
        <v>0</v>
      </c>
      <c r="AV270" s="7"/>
      <c r="AW270" s="74"/>
      <c r="AX270" s="99">
        <f>IF(OR(AV270="",AW270=""),0,IFERROR(INDEX(#REF!,MATCH(AV270,#REF!,0))*AW270,0))</f>
        <v>0</v>
      </c>
      <c r="AY270" s="7"/>
      <c r="AZ270" s="77"/>
      <c r="BA270" s="99">
        <f>IF(OR(AY270="",AZ270=""),0,IFERROR(INDEX(#REF!,MATCH(AY270,#REF!,0))*AZ270,0))</f>
        <v>0</v>
      </c>
      <c r="BB270" s="100">
        <f t="shared" si="43"/>
        <v>0</v>
      </c>
      <c r="BC270" s="110" t="str">
        <f t="shared" si="44"/>
        <v/>
      </c>
      <c r="BD270" s="62"/>
    </row>
    <row r="271" spans="1:56" ht="19.5" customHeight="1" x14ac:dyDescent="0.45">
      <c r="A271" s="104" t="str">
        <f t="shared" si="36"/>
        <v/>
      </c>
      <c r="B271" s="5"/>
      <c r="C271" s="109"/>
      <c r="D271" s="107"/>
      <c r="E271" s="6"/>
      <c r="F271" s="85"/>
      <c r="G271" s="85"/>
      <c r="H271" s="104" t="str">
        <f t="shared" si="37"/>
        <v/>
      </c>
      <c r="I271" s="103" t="str">
        <f>IFERROR(INDEX(#REF!,MATCH(E271,#REF!,0)),"")</f>
        <v/>
      </c>
      <c r="J271" s="6"/>
      <c r="K271" s="103" t="str">
        <f t="shared" si="38"/>
        <v/>
      </c>
      <c r="L271" s="8"/>
      <c r="M271" s="102" t="str">
        <f t="shared" si="39"/>
        <v/>
      </c>
      <c r="N271" s="9"/>
      <c r="O271" s="103" t="str">
        <f t="shared" si="40"/>
        <v/>
      </c>
      <c r="P271" s="6"/>
      <c r="Q271" s="7"/>
      <c r="R271" s="10"/>
      <c r="S271" s="29" t="str">
        <f t="shared" ca="1" si="41"/>
        <v/>
      </c>
      <c r="T271" s="7"/>
      <c r="U271" s="74"/>
      <c r="V271" s="101">
        <f>IF(OR(T271="",U271=""),0,IFERROR(INDEX(#REF!,MATCH(T271,#REF!,0))*U271,0))</f>
        <v>0</v>
      </c>
      <c r="W271" s="7"/>
      <c r="X271" s="74"/>
      <c r="Y271" s="101">
        <f>IF(OR(W271="",X271=""),0,IFERROR(INDEX(#REF!,MATCH(W271,#REF!,0))*X271,0))</f>
        <v>0</v>
      </c>
      <c r="Z271" s="7"/>
      <c r="AA271" s="74"/>
      <c r="AB271" s="101">
        <f>IF(OR(Z271="",AA271=""),0,IFERROR(INDEX(#REF!,MATCH(Z271,#REF!,0))*AA271,0))</f>
        <v>0</v>
      </c>
      <c r="AC271" s="7"/>
      <c r="AD271" s="74"/>
      <c r="AE271" s="101">
        <f>IF(OR(AC271="",AD271=""),0,IFERROR(INDEX(#REF!,MATCH(AC271,#REF!,0))*AD271,0))</f>
        <v>0</v>
      </c>
      <c r="AF271" s="7"/>
      <c r="AG271" s="74"/>
      <c r="AH271" s="101">
        <f>IF(OR(AF271="",AG271=""),0,IFERROR(INDEX(#REF!,MATCH(AF271,#REF!,0))*AG271,0))</f>
        <v>0</v>
      </c>
      <c r="AI271" s="7"/>
      <c r="AJ271" s="74"/>
      <c r="AK271" s="101">
        <f>IF(OR(AI271="",AJ271=""),0,IFERROR(INDEX(#REF!,MATCH(AI271,#REF!,0))*AJ271,0))</f>
        <v>0</v>
      </c>
      <c r="AL271" s="101">
        <f t="shared" si="42"/>
        <v>0</v>
      </c>
      <c r="AM271" s="7"/>
      <c r="AN271" s="72"/>
      <c r="AO271" s="99">
        <f>IF(OR(AM271="",AN271=""),0,IFERROR(INDEX(#REF!,MATCH(AM271,#REF!,0))*AN271,0))</f>
        <v>0</v>
      </c>
      <c r="AP271" s="7"/>
      <c r="AQ271" s="74"/>
      <c r="AR271" s="99">
        <f>IF(OR(AP271="",AQ271=""),0,IFERROR(INDEX(#REF!,MATCH(AP271,#REF!,0))*AQ271,0))</f>
        <v>0</v>
      </c>
      <c r="AS271" s="7"/>
      <c r="AT271" s="74"/>
      <c r="AU271" s="99">
        <f>IF(OR(AS271="",AT271=""),0,IFERROR(INDEX(#REF!,MATCH(AS271,#REF!,0))*AT271,0))</f>
        <v>0</v>
      </c>
      <c r="AV271" s="7"/>
      <c r="AW271" s="74"/>
      <c r="AX271" s="99">
        <f>IF(OR(AV271="",AW271=""),0,IFERROR(INDEX(#REF!,MATCH(AV271,#REF!,0))*AW271,0))</f>
        <v>0</v>
      </c>
      <c r="AY271" s="7"/>
      <c r="AZ271" s="77"/>
      <c r="BA271" s="99">
        <f>IF(OR(AY271="",AZ271=""),0,IFERROR(INDEX(#REF!,MATCH(AY271,#REF!,0))*AZ271,0))</f>
        <v>0</v>
      </c>
      <c r="BB271" s="100">
        <f t="shared" si="43"/>
        <v>0</v>
      </c>
      <c r="BC271" s="110" t="str">
        <f t="shared" si="44"/>
        <v/>
      </c>
      <c r="BD271" s="62"/>
    </row>
    <row r="272" spans="1:56" ht="19.5" customHeight="1" x14ac:dyDescent="0.45">
      <c r="A272" s="104" t="str">
        <f t="shared" si="36"/>
        <v/>
      </c>
      <c r="B272" s="5"/>
      <c r="C272" s="109"/>
      <c r="D272" s="107"/>
      <c r="E272" s="6"/>
      <c r="F272" s="85"/>
      <c r="G272" s="85"/>
      <c r="H272" s="104" t="str">
        <f t="shared" si="37"/>
        <v/>
      </c>
      <c r="I272" s="103" t="str">
        <f>IFERROR(INDEX(#REF!,MATCH(E272,#REF!,0)),"")</f>
        <v/>
      </c>
      <c r="J272" s="6"/>
      <c r="K272" s="103" t="str">
        <f t="shared" si="38"/>
        <v/>
      </c>
      <c r="L272" s="8"/>
      <c r="M272" s="102" t="str">
        <f t="shared" si="39"/>
        <v/>
      </c>
      <c r="N272" s="9"/>
      <c r="O272" s="103" t="str">
        <f t="shared" si="40"/>
        <v/>
      </c>
      <c r="P272" s="6"/>
      <c r="Q272" s="7"/>
      <c r="R272" s="10"/>
      <c r="S272" s="29" t="str">
        <f t="shared" ca="1" si="41"/>
        <v/>
      </c>
      <c r="T272" s="7"/>
      <c r="U272" s="74"/>
      <c r="V272" s="101">
        <f>IF(OR(T272="",U272=""),0,IFERROR(INDEX(#REF!,MATCH(T272,#REF!,0))*U272,0))</f>
        <v>0</v>
      </c>
      <c r="W272" s="7"/>
      <c r="X272" s="74"/>
      <c r="Y272" s="101">
        <f>IF(OR(W272="",X272=""),0,IFERROR(INDEX(#REF!,MATCH(W272,#REF!,0))*X272,0))</f>
        <v>0</v>
      </c>
      <c r="Z272" s="7"/>
      <c r="AA272" s="74"/>
      <c r="AB272" s="101">
        <f>IF(OR(Z272="",AA272=""),0,IFERROR(INDEX(#REF!,MATCH(Z272,#REF!,0))*AA272,0))</f>
        <v>0</v>
      </c>
      <c r="AC272" s="7"/>
      <c r="AD272" s="74"/>
      <c r="AE272" s="101">
        <f>IF(OR(AC272="",AD272=""),0,IFERROR(INDEX(#REF!,MATCH(AC272,#REF!,0))*AD272,0))</f>
        <v>0</v>
      </c>
      <c r="AF272" s="7"/>
      <c r="AG272" s="74"/>
      <c r="AH272" s="101">
        <f>IF(OR(AF272="",AG272=""),0,IFERROR(INDEX(#REF!,MATCH(AF272,#REF!,0))*AG272,0))</f>
        <v>0</v>
      </c>
      <c r="AI272" s="7"/>
      <c r="AJ272" s="74"/>
      <c r="AK272" s="101">
        <f>IF(OR(AI272="",AJ272=""),0,IFERROR(INDEX(#REF!,MATCH(AI272,#REF!,0))*AJ272,0))</f>
        <v>0</v>
      </c>
      <c r="AL272" s="101">
        <f t="shared" si="42"/>
        <v>0</v>
      </c>
      <c r="AM272" s="7"/>
      <c r="AN272" s="72"/>
      <c r="AO272" s="99">
        <f>IF(OR(AM272="",AN272=""),0,IFERROR(INDEX(#REF!,MATCH(AM272,#REF!,0))*AN272,0))</f>
        <v>0</v>
      </c>
      <c r="AP272" s="7"/>
      <c r="AQ272" s="74"/>
      <c r="AR272" s="99">
        <f>IF(OR(AP272="",AQ272=""),0,IFERROR(INDEX(#REF!,MATCH(AP272,#REF!,0))*AQ272,0))</f>
        <v>0</v>
      </c>
      <c r="AS272" s="7"/>
      <c r="AT272" s="74"/>
      <c r="AU272" s="99">
        <f>IF(OR(AS272="",AT272=""),0,IFERROR(INDEX(#REF!,MATCH(AS272,#REF!,0))*AT272,0))</f>
        <v>0</v>
      </c>
      <c r="AV272" s="7"/>
      <c r="AW272" s="74"/>
      <c r="AX272" s="99">
        <f>IF(OR(AV272="",AW272=""),0,IFERROR(INDEX(#REF!,MATCH(AV272,#REF!,0))*AW272,0))</f>
        <v>0</v>
      </c>
      <c r="AY272" s="7"/>
      <c r="AZ272" s="77"/>
      <c r="BA272" s="99">
        <f>IF(OR(AY272="",AZ272=""),0,IFERROR(INDEX(#REF!,MATCH(AY272,#REF!,0))*AZ272,0))</f>
        <v>0</v>
      </c>
      <c r="BB272" s="100">
        <f t="shared" si="43"/>
        <v>0</v>
      </c>
      <c r="BC272" s="110" t="str">
        <f t="shared" si="44"/>
        <v/>
      </c>
      <c r="BD272" s="62"/>
    </row>
    <row r="273" spans="1:56" ht="19.5" customHeight="1" x14ac:dyDescent="0.45">
      <c r="A273" s="104" t="str">
        <f t="shared" si="36"/>
        <v/>
      </c>
      <c r="B273" s="5"/>
      <c r="C273" s="109"/>
      <c r="D273" s="107"/>
      <c r="E273" s="6"/>
      <c r="F273" s="85"/>
      <c r="G273" s="85"/>
      <c r="H273" s="104" t="str">
        <f t="shared" si="37"/>
        <v/>
      </c>
      <c r="I273" s="103" t="str">
        <f>IFERROR(INDEX(#REF!,MATCH(E273,#REF!,0)),"")</f>
        <v/>
      </c>
      <c r="J273" s="6"/>
      <c r="K273" s="103" t="str">
        <f t="shared" si="38"/>
        <v/>
      </c>
      <c r="L273" s="8"/>
      <c r="M273" s="102" t="str">
        <f t="shared" si="39"/>
        <v/>
      </c>
      <c r="N273" s="9"/>
      <c r="O273" s="103" t="str">
        <f t="shared" si="40"/>
        <v/>
      </c>
      <c r="P273" s="6"/>
      <c r="Q273" s="7"/>
      <c r="R273" s="10"/>
      <c r="S273" s="29" t="str">
        <f t="shared" ca="1" si="41"/>
        <v/>
      </c>
      <c r="T273" s="7"/>
      <c r="U273" s="74"/>
      <c r="V273" s="101">
        <f>IF(OR(T273="",U273=""),0,IFERROR(INDEX(#REF!,MATCH(T273,#REF!,0))*U273,0))</f>
        <v>0</v>
      </c>
      <c r="W273" s="7"/>
      <c r="X273" s="74"/>
      <c r="Y273" s="101">
        <f>IF(OR(W273="",X273=""),0,IFERROR(INDEX(#REF!,MATCH(W273,#REF!,0))*X273,0))</f>
        <v>0</v>
      </c>
      <c r="Z273" s="7"/>
      <c r="AA273" s="74"/>
      <c r="AB273" s="101">
        <f>IF(OR(Z273="",AA273=""),0,IFERROR(INDEX(#REF!,MATCH(Z273,#REF!,0))*AA273,0))</f>
        <v>0</v>
      </c>
      <c r="AC273" s="7"/>
      <c r="AD273" s="74"/>
      <c r="AE273" s="101">
        <f>IF(OR(AC273="",AD273=""),0,IFERROR(INDEX(#REF!,MATCH(AC273,#REF!,0))*AD273,0))</f>
        <v>0</v>
      </c>
      <c r="AF273" s="7"/>
      <c r="AG273" s="74"/>
      <c r="AH273" s="101">
        <f>IF(OR(AF273="",AG273=""),0,IFERROR(INDEX(#REF!,MATCH(AF273,#REF!,0))*AG273,0))</f>
        <v>0</v>
      </c>
      <c r="AI273" s="7"/>
      <c r="AJ273" s="74"/>
      <c r="AK273" s="101">
        <f>IF(OR(AI273="",AJ273=""),0,IFERROR(INDEX(#REF!,MATCH(AI273,#REF!,0))*AJ273,0))</f>
        <v>0</v>
      </c>
      <c r="AL273" s="101">
        <f t="shared" si="42"/>
        <v>0</v>
      </c>
      <c r="AM273" s="7"/>
      <c r="AN273" s="72"/>
      <c r="AO273" s="99">
        <f>IF(OR(AM273="",AN273=""),0,IFERROR(INDEX(#REF!,MATCH(AM273,#REF!,0))*AN273,0))</f>
        <v>0</v>
      </c>
      <c r="AP273" s="7"/>
      <c r="AQ273" s="74"/>
      <c r="AR273" s="99">
        <f>IF(OR(AP273="",AQ273=""),0,IFERROR(INDEX(#REF!,MATCH(AP273,#REF!,0))*AQ273,0))</f>
        <v>0</v>
      </c>
      <c r="AS273" s="7"/>
      <c r="AT273" s="74"/>
      <c r="AU273" s="99">
        <f>IF(OR(AS273="",AT273=""),0,IFERROR(INDEX(#REF!,MATCH(AS273,#REF!,0))*AT273,0))</f>
        <v>0</v>
      </c>
      <c r="AV273" s="7"/>
      <c r="AW273" s="74"/>
      <c r="AX273" s="99">
        <f>IF(OR(AV273="",AW273=""),0,IFERROR(INDEX(#REF!,MATCH(AV273,#REF!,0))*AW273,0))</f>
        <v>0</v>
      </c>
      <c r="AY273" s="7"/>
      <c r="AZ273" s="77"/>
      <c r="BA273" s="99">
        <f>IF(OR(AY273="",AZ273=""),0,IFERROR(INDEX(#REF!,MATCH(AY273,#REF!,0))*AZ273,0))</f>
        <v>0</v>
      </c>
      <c r="BB273" s="100">
        <f t="shared" si="43"/>
        <v>0</v>
      </c>
      <c r="BC273" s="110" t="str">
        <f t="shared" si="44"/>
        <v/>
      </c>
      <c r="BD273" s="62"/>
    </row>
    <row r="274" spans="1:56" ht="19.5" customHeight="1" x14ac:dyDescent="0.45">
      <c r="A274" s="104" t="str">
        <f t="shared" si="36"/>
        <v/>
      </c>
      <c r="B274" s="5"/>
      <c r="C274" s="109"/>
      <c r="D274" s="107"/>
      <c r="E274" s="6"/>
      <c r="F274" s="85"/>
      <c r="G274" s="85"/>
      <c r="H274" s="104" t="str">
        <f t="shared" si="37"/>
        <v/>
      </c>
      <c r="I274" s="103" t="str">
        <f>IFERROR(INDEX(#REF!,MATCH(E274,#REF!,0)),"")</f>
        <v/>
      </c>
      <c r="J274" s="6"/>
      <c r="K274" s="103" t="str">
        <f t="shared" si="38"/>
        <v/>
      </c>
      <c r="L274" s="8"/>
      <c r="M274" s="102" t="str">
        <f t="shared" si="39"/>
        <v/>
      </c>
      <c r="N274" s="9"/>
      <c r="O274" s="103" t="str">
        <f t="shared" si="40"/>
        <v/>
      </c>
      <c r="P274" s="6"/>
      <c r="Q274" s="7"/>
      <c r="R274" s="10"/>
      <c r="S274" s="29" t="str">
        <f t="shared" ca="1" si="41"/>
        <v/>
      </c>
      <c r="T274" s="7"/>
      <c r="U274" s="74"/>
      <c r="V274" s="101">
        <f>IF(OR(T274="",U274=""),0,IFERROR(INDEX(#REF!,MATCH(T274,#REF!,0))*U274,0))</f>
        <v>0</v>
      </c>
      <c r="W274" s="7"/>
      <c r="X274" s="74"/>
      <c r="Y274" s="101">
        <f>IF(OR(W274="",X274=""),0,IFERROR(INDEX(#REF!,MATCH(W274,#REF!,0))*X274,0))</f>
        <v>0</v>
      </c>
      <c r="Z274" s="7"/>
      <c r="AA274" s="74"/>
      <c r="AB274" s="101">
        <f>IF(OR(Z274="",AA274=""),0,IFERROR(INDEX(#REF!,MATCH(Z274,#REF!,0))*AA274,0))</f>
        <v>0</v>
      </c>
      <c r="AC274" s="7"/>
      <c r="AD274" s="74"/>
      <c r="AE274" s="101">
        <f>IF(OR(AC274="",AD274=""),0,IFERROR(INDEX(#REF!,MATCH(AC274,#REF!,0))*AD274,0))</f>
        <v>0</v>
      </c>
      <c r="AF274" s="7"/>
      <c r="AG274" s="74"/>
      <c r="AH274" s="101">
        <f>IF(OR(AF274="",AG274=""),0,IFERROR(INDEX(#REF!,MATCH(AF274,#REF!,0))*AG274,0))</f>
        <v>0</v>
      </c>
      <c r="AI274" s="7"/>
      <c r="AJ274" s="74"/>
      <c r="AK274" s="101">
        <f>IF(OR(AI274="",AJ274=""),0,IFERROR(INDEX(#REF!,MATCH(AI274,#REF!,0))*AJ274,0))</f>
        <v>0</v>
      </c>
      <c r="AL274" s="101">
        <f t="shared" si="42"/>
        <v>0</v>
      </c>
      <c r="AM274" s="7"/>
      <c r="AN274" s="72"/>
      <c r="AO274" s="99">
        <f>IF(OR(AM274="",AN274=""),0,IFERROR(INDEX(#REF!,MATCH(AM274,#REF!,0))*AN274,0))</f>
        <v>0</v>
      </c>
      <c r="AP274" s="7"/>
      <c r="AQ274" s="74"/>
      <c r="AR274" s="99">
        <f>IF(OR(AP274="",AQ274=""),0,IFERROR(INDEX(#REF!,MATCH(AP274,#REF!,0))*AQ274,0))</f>
        <v>0</v>
      </c>
      <c r="AS274" s="7"/>
      <c r="AT274" s="74"/>
      <c r="AU274" s="99">
        <f>IF(OR(AS274="",AT274=""),0,IFERROR(INDEX(#REF!,MATCH(AS274,#REF!,0))*AT274,0))</f>
        <v>0</v>
      </c>
      <c r="AV274" s="7"/>
      <c r="AW274" s="74"/>
      <c r="AX274" s="99">
        <f>IF(OR(AV274="",AW274=""),0,IFERROR(INDEX(#REF!,MATCH(AV274,#REF!,0))*AW274,0))</f>
        <v>0</v>
      </c>
      <c r="AY274" s="7"/>
      <c r="AZ274" s="77"/>
      <c r="BA274" s="99">
        <f>IF(OR(AY274="",AZ274=""),0,IFERROR(INDEX(#REF!,MATCH(AY274,#REF!,0))*AZ274,0))</f>
        <v>0</v>
      </c>
      <c r="BB274" s="100">
        <f t="shared" si="43"/>
        <v>0</v>
      </c>
      <c r="BC274" s="110" t="str">
        <f t="shared" si="44"/>
        <v/>
      </c>
      <c r="BD274" s="62"/>
    </row>
    <row r="275" spans="1:56" ht="19.5" customHeight="1" x14ac:dyDescent="0.45">
      <c r="A275" s="104" t="str">
        <f t="shared" si="36"/>
        <v/>
      </c>
      <c r="B275" s="5"/>
      <c r="C275" s="109"/>
      <c r="D275" s="107"/>
      <c r="E275" s="6"/>
      <c r="F275" s="85"/>
      <c r="G275" s="85"/>
      <c r="H275" s="104" t="str">
        <f t="shared" si="37"/>
        <v/>
      </c>
      <c r="I275" s="103" t="str">
        <f>IFERROR(INDEX(#REF!,MATCH(E275,#REF!,0)),"")</f>
        <v/>
      </c>
      <c r="J275" s="6"/>
      <c r="K275" s="103" t="str">
        <f t="shared" si="38"/>
        <v/>
      </c>
      <c r="L275" s="8"/>
      <c r="M275" s="102" t="str">
        <f t="shared" si="39"/>
        <v/>
      </c>
      <c r="N275" s="9"/>
      <c r="O275" s="103" t="str">
        <f t="shared" si="40"/>
        <v/>
      </c>
      <c r="P275" s="6"/>
      <c r="Q275" s="7"/>
      <c r="R275" s="10"/>
      <c r="S275" s="29" t="str">
        <f t="shared" ca="1" si="41"/>
        <v/>
      </c>
      <c r="T275" s="7"/>
      <c r="U275" s="74"/>
      <c r="V275" s="101">
        <f>IF(OR(T275="",U275=""),0,IFERROR(INDEX(#REF!,MATCH(T275,#REF!,0))*U275,0))</f>
        <v>0</v>
      </c>
      <c r="W275" s="7"/>
      <c r="X275" s="74"/>
      <c r="Y275" s="101">
        <f>IF(OR(W275="",X275=""),0,IFERROR(INDEX(#REF!,MATCH(W275,#REF!,0))*X275,0))</f>
        <v>0</v>
      </c>
      <c r="Z275" s="7"/>
      <c r="AA275" s="74"/>
      <c r="AB275" s="101">
        <f>IF(OR(Z275="",AA275=""),0,IFERROR(INDEX(#REF!,MATCH(Z275,#REF!,0))*AA275,0))</f>
        <v>0</v>
      </c>
      <c r="AC275" s="7"/>
      <c r="AD275" s="74"/>
      <c r="AE275" s="101">
        <f>IF(OR(AC275="",AD275=""),0,IFERROR(INDEX(#REF!,MATCH(AC275,#REF!,0))*AD275,0))</f>
        <v>0</v>
      </c>
      <c r="AF275" s="7"/>
      <c r="AG275" s="74"/>
      <c r="AH275" s="101">
        <f>IF(OR(AF275="",AG275=""),0,IFERROR(INDEX(#REF!,MATCH(AF275,#REF!,0))*AG275,0))</f>
        <v>0</v>
      </c>
      <c r="AI275" s="7"/>
      <c r="AJ275" s="74"/>
      <c r="AK275" s="101">
        <f>IF(OR(AI275="",AJ275=""),0,IFERROR(INDEX(#REF!,MATCH(AI275,#REF!,0))*AJ275,0))</f>
        <v>0</v>
      </c>
      <c r="AL275" s="101">
        <f t="shared" si="42"/>
        <v>0</v>
      </c>
      <c r="AM275" s="7"/>
      <c r="AN275" s="72"/>
      <c r="AO275" s="99">
        <f>IF(OR(AM275="",AN275=""),0,IFERROR(INDEX(#REF!,MATCH(AM275,#REF!,0))*AN275,0))</f>
        <v>0</v>
      </c>
      <c r="AP275" s="7"/>
      <c r="AQ275" s="74"/>
      <c r="AR275" s="99">
        <f>IF(OR(AP275="",AQ275=""),0,IFERROR(INDEX(#REF!,MATCH(AP275,#REF!,0))*AQ275,0))</f>
        <v>0</v>
      </c>
      <c r="AS275" s="7"/>
      <c r="AT275" s="74"/>
      <c r="AU275" s="99">
        <f>IF(OR(AS275="",AT275=""),0,IFERROR(INDEX(#REF!,MATCH(AS275,#REF!,0))*AT275,0))</f>
        <v>0</v>
      </c>
      <c r="AV275" s="7"/>
      <c r="AW275" s="74"/>
      <c r="AX275" s="99">
        <f>IF(OR(AV275="",AW275=""),0,IFERROR(INDEX(#REF!,MATCH(AV275,#REF!,0))*AW275,0))</f>
        <v>0</v>
      </c>
      <c r="AY275" s="7"/>
      <c r="AZ275" s="77"/>
      <c r="BA275" s="99">
        <f>IF(OR(AY275="",AZ275=""),0,IFERROR(INDEX(#REF!,MATCH(AY275,#REF!,0))*AZ275,0))</f>
        <v>0</v>
      </c>
      <c r="BB275" s="100">
        <f t="shared" si="43"/>
        <v>0</v>
      </c>
      <c r="BC275" s="110" t="str">
        <f t="shared" si="44"/>
        <v/>
      </c>
      <c r="BD275" s="62"/>
    </row>
    <row r="276" spans="1:56" ht="19.5" customHeight="1" x14ac:dyDescent="0.45">
      <c r="A276" s="104" t="str">
        <f t="shared" si="36"/>
        <v/>
      </c>
      <c r="B276" s="5"/>
      <c r="C276" s="109"/>
      <c r="D276" s="107"/>
      <c r="E276" s="6"/>
      <c r="F276" s="85"/>
      <c r="G276" s="85"/>
      <c r="H276" s="104" t="str">
        <f t="shared" si="37"/>
        <v/>
      </c>
      <c r="I276" s="103" t="str">
        <f>IFERROR(INDEX(#REF!,MATCH(E276,#REF!,0)),"")</f>
        <v/>
      </c>
      <c r="J276" s="6"/>
      <c r="K276" s="103" t="str">
        <f t="shared" si="38"/>
        <v/>
      </c>
      <c r="L276" s="8"/>
      <c r="M276" s="102" t="str">
        <f t="shared" si="39"/>
        <v/>
      </c>
      <c r="N276" s="9"/>
      <c r="O276" s="103" t="str">
        <f t="shared" si="40"/>
        <v/>
      </c>
      <c r="P276" s="6"/>
      <c r="Q276" s="7"/>
      <c r="R276" s="10"/>
      <c r="S276" s="29" t="str">
        <f t="shared" ca="1" si="41"/>
        <v/>
      </c>
      <c r="T276" s="7"/>
      <c r="U276" s="74"/>
      <c r="V276" s="101">
        <f>IF(OR(T276="",U276=""),0,IFERROR(INDEX(#REF!,MATCH(T276,#REF!,0))*U276,0))</f>
        <v>0</v>
      </c>
      <c r="W276" s="7"/>
      <c r="X276" s="74"/>
      <c r="Y276" s="101">
        <f>IF(OR(W276="",X276=""),0,IFERROR(INDEX(#REF!,MATCH(W276,#REF!,0))*X276,0))</f>
        <v>0</v>
      </c>
      <c r="Z276" s="7"/>
      <c r="AA276" s="74"/>
      <c r="AB276" s="101">
        <f>IF(OR(Z276="",AA276=""),0,IFERROR(INDEX(#REF!,MATCH(Z276,#REF!,0))*AA276,0))</f>
        <v>0</v>
      </c>
      <c r="AC276" s="7"/>
      <c r="AD276" s="74"/>
      <c r="AE276" s="101">
        <f>IF(OR(AC276="",AD276=""),0,IFERROR(INDEX(#REF!,MATCH(AC276,#REF!,0))*AD276,0))</f>
        <v>0</v>
      </c>
      <c r="AF276" s="7"/>
      <c r="AG276" s="74"/>
      <c r="AH276" s="101">
        <f>IF(OR(AF276="",AG276=""),0,IFERROR(INDEX(#REF!,MATCH(AF276,#REF!,0))*AG276,0))</f>
        <v>0</v>
      </c>
      <c r="AI276" s="7"/>
      <c r="AJ276" s="74"/>
      <c r="AK276" s="101">
        <f>IF(OR(AI276="",AJ276=""),0,IFERROR(INDEX(#REF!,MATCH(AI276,#REF!,0))*AJ276,0))</f>
        <v>0</v>
      </c>
      <c r="AL276" s="101">
        <f t="shared" si="42"/>
        <v>0</v>
      </c>
      <c r="AM276" s="7"/>
      <c r="AN276" s="72"/>
      <c r="AO276" s="99">
        <f>IF(OR(AM276="",AN276=""),0,IFERROR(INDEX(#REF!,MATCH(AM276,#REF!,0))*AN276,0))</f>
        <v>0</v>
      </c>
      <c r="AP276" s="7"/>
      <c r="AQ276" s="74"/>
      <c r="AR276" s="99">
        <f>IF(OR(AP276="",AQ276=""),0,IFERROR(INDEX(#REF!,MATCH(AP276,#REF!,0))*AQ276,0))</f>
        <v>0</v>
      </c>
      <c r="AS276" s="7"/>
      <c r="AT276" s="74"/>
      <c r="AU276" s="99">
        <f>IF(OR(AS276="",AT276=""),0,IFERROR(INDEX(#REF!,MATCH(AS276,#REF!,0))*AT276,0))</f>
        <v>0</v>
      </c>
      <c r="AV276" s="7"/>
      <c r="AW276" s="74"/>
      <c r="AX276" s="99">
        <f>IF(OR(AV276="",AW276=""),0,IFERROR(INDEX(#REF!,MATCH(AV276,#REF!,0))*AW276,0))</f>
        <v>0</v>
      </c>
      <c r="AY276" s="7"/>
      <c r="AZ276" s="77"/>
      <c r="BA276" s="99">
        <f>IF(OR(AY276="",AZ276=""),0,IFERROR(INDEX(#REF!,MATCH(AY276,#REF!,0))*AZ276,0))</f>
        <v>0</v>
      </c>
      <c r="BB276" s="100">
        <f t="shared" si="43"/>
        <v>0</v>
      </c>
      <c r="BC276" s="110" t="str">
        <f t="shared" si="44"/>
        <v/>
      </c>
      <c r="BD276" s="62"/>
    </row>
    <row r="277" spans="1:56" ht="19.5" customHeight="1" x14ac:dyDescent="0.45">
      <c r="A277" s="104" t="str">
        <f t="shared" ref="A277:A340" si="45">IF(B277="","","BK-"&amp;TEXT(ROW()-4,"0000"))</f>
        <v/>
      </c>
      <c r="B277" s="5"/>
      <c r="C277" s="109"/>
      <c r="D277" s="107"/>
      <c r="E277" s="6"/>
      <c r="F277" s="85"/>
      <c r="G277" s="85"/>
      <c r="H277" s="104" t="str">
        <f t="shared" si="37"/>
        <v/>
      </c>
      <c r="I277" s="103" t="str">
        <f>IFERROR(INDEX(#REF!,MATCH(E277,#REF!,0)),"")</f>
        <v/>
      </c>
      <c r="J277" s="6"/>
      <c r="K277" s="103" t="str">
        <f t="shared" si="38"/>
        <v/>
      </c>
      <c r="L277" s="8"/>
      <c r="M277" s="102" t="str">
        <f t="shared" si="39"/>
        <v/>
      </c>
      <c r="N277" s="9"/>
      <c r="O277" s="103" t="str">
        <f t="shared" si="40"/>
        <v/>
      </c>
      <c r="P277" s="6"/>
      <c r="Q277" s="7"/>
      <c r="R277" s="10"/>
      <c r="S277" s="29" t="str">
        <f t="shared" ca="1" si="41"/>
        <v/>
      </c>
      <c r="T277" s="7"/>
      <c r="U277" s="74"/>
      <c r="V277" s="101">
        <f>IF(OR(T277="",U277=""),0,IFERROR(INDEX(#REF!,MATCH(T277,#REF!,0))*U277,0))</f>
        <v>0</v>
      </c>
      <c r="W277" s="7"/>
      <c r="X277" s="74"/>
      <c r="Y277" s="101">
        <f>IF(OR(W277="",X277=""),0,IFERROR(INDEX(#REF!,MATCH(W277,#REF!,0))*X277,0))</f>
        <v>0</v>
      </c>
      <c r="Z277" s="7"/>
      <c r="AA277" s="74"/>
      <c r="AB277" s="101">
        <f>IF(OR(Z277="",AA277=""),0,IFERROR(INDEX(#REF!,MATCH(Z277,#REF!,0))*AA277,0))</f>
        <v>0</v>
      </c>
      <c r="AC277" s="7"/>
      <c r="AD277" s="74"/>
      <c r="AE277" s="101">
        <f>IF(OR(AC277="",AD277=""),0,IFERROR(INDEX(#REF!,MATCH(AC277,#REF!,0))*AD277,0))</f>
        <v>0</v>
      </c>
      <c r="AF277" s="7"/>
      <c r="AG277" s="74"/>
      <c r="AH277" s="101">
        <f>IF(OR(AF277="",AG277=""),0,IFERROR(INDEX(#REF!,MATCH(AF277,#REF!,0))*AG277,0))</f>
        <v>0</v>
      </c>
      <c r="AI277" s="7"/>
      <c r="AJ277" s="74"/>
      <c r="AK277" s="101">
        <f>IF(OR(AI277="",AJ277=""),0,IFERROR(INDEX(#REF!,MATCH(AI277,#REF!,0))*AJ277,0))</f>
        <v>0</v>
      </c>
      <c r="AL277" s="101">
        <f t="shared" si="42"/>
        <v>0</v>
      </c>
      <c r="AM277" s="7"/>
      <c r="AN277" s="72"/>
      <c r="AO277" s="99">
        <f>IF(OR(AM277="",AN277=""),0,IFERROR(INDEX(#REF!,MATCH(AM277,#REF!,0))*AN277,0))</f>
        <v>0</v>
      </c>
      <c r="AP277" s="7"/>
      <c r="AQ277" s="74"/>
      <c r="AR277" s="99">
        <f>IF(OR(AP277="",AQ277=""),0,IFERROR(INDEX(#REF!,MATCH(AP277,#REF!,0))*AQ277,0))</f>
        <v>0</v>
      </c>
      <c r="AS277" s="7"/>
      <c r="AT277" s="74"/>
      <c r="AU277" s="99">
        <f>IF(OR(AS277="",AT277=""),0,IFERROR(INDEX(#REF!,MATCH(AS277,#REF!,0))*AT277,0))</f>
        <v>0</v>
      </c>
      <c r="AV277" s="7"/>
      <c r="AW277" s="74"/>
      <c r="AX277" s="99">
        <f>IF(OR(AV277="",AW277=""),0,IFERROR(INDEX(#REF!,MATCH(AV277,#REF!,0))*AW277,0))</f>
        <v>0</v>
      </c>
      <c r="AY277" s="7"/>
      <c r="AZ277" s="77"/>
      <c r="BA277" s="99">
        <f>IF(OR(AY277="",AZ277=""),0,IFERROR(INDEX(#REF!,MATCH(AY277,#REF!,0))*AZ277,0))</f>
        <v>0</v>
      </c>
      <c r="BB277" s="100">
        <f t="shared" si="43"/>
        <v>0</v>
      </c>
      <c r="BC277" s="110" t="str">
        <f t="shared" si="44"/>
        <v/>
      </c>
      <c r="BD277" s="62"/>
    </row>
    <row r="278" spans="1:56" ht="19.5" customHeight="1" x14ac:dyDescent="0.45">
      <c r="A278" s="104" t="str">
        <f t="shared" si="45"/>
        <v/>
      </c>
      <c r="B278" s="5"/>
      <c r="C278" s="109"/>
      <c r="D278" s="107"/>
      <c r="E278" s="6"/>
      <c r="F278" s="85"/>
      <c r="G278" s="85"/>
      <c r="H278" s="104" t="str">
        <f t="shared" si="37"/>
        <v/>
      </c>
      <c r="I278" s="103" t="str">
        <f>IFERROR(INDEX(#REF!,MATCH(E278,#REF!,0)),"")</f>
        <v/>
      </c>
      <c r="J278" s="6"/>
      <c r="K278" s="103" t="str">
        <f t="shared" si="38"/>
        <v/>
      </c>
      <c r="L278" s="8"/>
      <c r="M278" s="102" t="str">
        <f t="shared" si="39"/>
        <v/>
      </c>
      <c r="N278" s="9"/>
      <c r="O278" s="103" t="str">
        <f t="shared" si="40"/>
        <v/>
      </c>
      <c r="P278" s="6"/>
      <c r="Q278" s="7"/>
      <c r="R278" s="10"/>
      <c r="S278" s="29" t="str">
        <f t="shared" ca="1" si="41"/>
        <v/>
      </c>
      <c r="T278" s="7"/>
      <c r="U278" s="74"/>
      <c r="V278" s="101">
        <f>IF(OR(T278="",U278=""),0,IFERROR(INDEX(#REF!,MATCH(T278,#REF!,0))*U278,0))</f>
        <v>0</v>
      </c>
      <c r="W278" s="7"/>
      <c r="X278" s="74"/>
      <c r="Y278" s="101">
        <f>IF(OR(W278="",X278=""),0,IFERROR(INDEX(#REF!,MATCH(W278,#REF!,0))*X278,0))</f>
        <v>0</v>
      </c>
      <c r="Z278" s="7"/>
      <c r="AA278" s="74"/>
      <c r="AB278" s="101">
        <f>IF(OR(Z278="",AA278=""),0,IFERROR(INDEX(#REF!,MATCH(Z278,#REF!,0))*AA278,0))</f>
        <v>0</v>
      </c>
      <c r="AC278" s="7"/>
      <c r="AD278" s="74"/>
      <c r="AE278" s="101">
        <f>IF(OR(AC278="",AD278=""),0,IFERROR(INDEX(#REF!,MATCH(AC278,#REF!,0))*AD278,0))</f>
        <v>0</v>
      </c>
      <c r="AF278" s="7"/>
      <c r="AG278" s="74"/>
      <c r="AH278" s="101">
        <f>IF(OR(AF278="",AG278=""),0,IFERROR(INDEX(#REF!,MATCH(AF278,#REF!,0))*AG278,0))</f>
        <v>0</v>
      </c>
      <c r="AI278" s="7"/>
      <c r="AJ278" s="74"/>
      <c r="AK278" s="101">
        <f>IF(OR(AI278="",AJ278=""),0,IFERROR(INDEX(#REF!,MATCH(AI278,#REF!,0))*AJ278,0))</f>
        <v>0</v>
      </c>
      <c r="AL278" s="101">
        <f t="shared" si="42"/>
        <v>0</v>
      </c>
      <c r="AM278" s="7"/>
      <c r="AN278" s="72"/>
      <c r="AO278" s="99">
        <f>IF(OR(AM278="",AN278=""),0,IFERROR(INDEX(#REF!,MATCH(AM278,#REF!,0))*AN278,0))</f>
        <v>0</v>
      </c>
      <c r="AP278" s="7"/>
      <c r="AQ278" s="74"/>
      <c r="AR278" s="99">
        <f>IF(OR(AP278="",AQ278=""),0,IFERROR(INDEX(#REF!,MATCH(AP278,#REF!,0))*AQ278,0))</f>
        <v>0</v>
      </c>
      <c r="AS278" s="7"/>
      <c r="AT278" s="74"/>
      <c r="AU278" s="99">
        <f>IF(OR(AS278="",AT278=""),0,IFERROR(INDEX(#REF!,MATCH(AS278,#REF!,0))*AT278,0))</f>
        <v>0</v>
      </c>
      <c r="AV278" s="7"/>
      <c r="AW278" s="74"/>
      <c r="AX278" s="99">
        <f>IF(OR(AV278="",AW278=""),0,IFERROR(INDEX(#REF!,MATCH(AV278,#REF!,0))*AW278,0))</f>
        <v>0</v>
      </c>
      <c r="AY278" s="7"/>
      <c r="AZ278" s="77"/>
      <c r="BA278" s="99">
        <f>IF(OR(AY278="",AZ278=""),0,IFERROR(INDEX(#REF!,MATCH(AY278,#REF!,0))*AZ278,0))</f>
        <v>0</v>
      </c>
      <c r="BB278" s="100">
        <f t="shared" si="43"/>
        <v>0</v>
      </c>
      <c r="BC278" s="110" t="str">
        <f t="shared" si="44"/>
        <v/>
      </c>
      <c r="BD278" s="62"/>
    </row>
    <row r="279" spans="1:56" ht="19.5" customHeight="1" x14ac:dyDescent="0.45">
      <c r="A279" s="104" t="str">
        <f t="shared" si="45"/>
        <v/>
      </c>
      <c r="B279" s="5"/>
      <c r="C279" s="109"/>
      <c r="D279" s="107"/>
      <c r="E279" s="6"/>
      <c r="F279" s="85"/>
      <c r="G279" s="85"/>
      <c r="H279" s="104" t="str">
        <f t="shared" si="37"/>
        <v/>
      </c>
      <c r="I279" s="103" t="str">
        <f>IFERROR(INDEX(#REF!,MATCH(E279,#REF!,0)),"")</f>
        <v/>
      </c>
      <c r="J279" s="6"/>
      <c r="K279" s="103" t="str">
        <f t="shared" si="38"/>
        <v/>
      </c>
      <c r="L279" s="8"/>
      <c r="M279" s="102" t="str">
        <f t="shared" si="39"/>
        <v/>
      </c>
      <c r="N279" s="9"/>
      <c r="O279" s="103" t="str">
        <f t="shared" si="40"/>
        <v/>
      </c>
      <c r="P279" s="6"/>
      <c r="Q279" s="7"/>
      <c r="R279" s="10"/>
      <c r="S279" s="29" t="str">
        <f t="shared" ca="1" si="41"/>
        <v/>
      </c>
      <c r="T279" s="7"/>
      <c r="U279" s="74"/>
      <c r="V279" s="101">
        <f>IF(OR(T279="",U279=""),0,IFERROR(INDEX(#REF!,MATCH(T279,#REF!,0))*U279,0))</f>
        <v>0</v>
      </c>
      <c r="W279" s="7"/>
      <c r="X279" s="74"/>
      <c r="Y279" s="101">
        <f>IF(OR(W279="",X279=""),0,IFERROR(INDEX(#REF!,MATCH(W279,#REF!,0))*X279,0))</f>
        <v>0</v>
      </c>
      <c r="Z279" s="7"/>
      <c r="AA279" s="74"/>
      <c r="AB279" s="101">
        <f>IF(OR(Z279="",AA279=""),0,IFERROR(INDEX(#REF!,MATCH(Z279,#REF!,0))*AA279,0))</f>
        <v>0</v>
      </c>
      <c r="AC279" s="7"/>
      <c r="AD279" s="74"/>
      <c r="AE279" s="101">
        <f>IF(OR(AC279="",AD279=""),0,IFERROR(INDEX(#REF!,MATCH(AC279,#REF!,0))*AD279,0))</f>
        <v>0</v>
      </c>
      <c r="AF279" s="7"/>
      <c r="AG279" s="74"/>
      <c r="AH279" s="101">
        <f>IF(OR(AF279="",AG279=""),0,IFERROR(INDEX(#REF!,MATCH(AF279,#REF!,0))*AG279,0))</f>
        <v>0</v>
      </c>
      <c r="AI279" s="7"/>
      <c r="AJ279" s="74"/>
      <c r="AK279" s="101">
        <f>IF(OR(AI279="",AJ279=""),0,IFERROR(INDEX(#REF!,MATCH(AI279,#REF!,0))*AJ279,0))</f>
        <v>0</v>
      </c>
      <c r="AL279" s="101">
        <f t="shared" si="42"/>
        <v>0</v>
      </c>
      <c r="AM279" s="7"/>
      <c r="AN279" s="72"/>
      <c r="AO279" s="99">
        <f>IF(OR(AM279="",AN279=""),0,IFERROR(INDEX(#REF!,MATCH(AM279,#REF!,0))*AN279,0))</f>
        <v>0</v>
      </c>
      <c r="AP279" s="7"/>
      <c r="AQ279" s="74"/>
      <c r="AR279" s="99">
        <f>IF(OR(AP279="",AQ279=""),0,IFERROR(INDEX(#REF!,MATCH(AP279,#REF!,0))*AQ279,0))</f>
        <v>0</v>
      </c>
      <c r="AS279" s="7"/>
      <c r="AT279" s="74"/>
      <c r="AU279" s="99">
        <f>IF(OR(AS279="",AT279=""),0,IFERROR(INDEX(#REF!,MATCH(AS279,#REF!,0))*AT279,0))</f>
        <v>0</v>
      </c>
      <c r="AV279" s="7"/>
      <c r="AW279" s="74"/>
      <c r="AX279" s="99">
        <f>IF(OR(AV279="",AW279=""),0,IFERROR(INDEX(#REF!,MATCH(AV279,#REF!,0))*AW279,0))</f>
        <v>0</v>
      </c>
      <c r="AY279" s="7"/>
      <c r="AZ279" s="77"/>
      <c r="BA279" s="99">
        <f>IF(OR(AY279="",AZ279=""),0,IFERROR(INDEX(#REF!,MATCH(AY279,#REF!,0))*AZ279,0))</f>
        <v>0</v>
      </c>
      <c r="BB279" s="100">
        <f t="shared" si="43"/>
        <v>0</v>
      </c>
      <c r="BC279" s="110" t="str">
        <f t="shared" si="44"/>
        <v/>
      </c>
      <c r="BD279" s="62"/>
    </row>
    <row r="280" spans="1:56" ht="19.5" customHeight="1" x14ac:dyDescent="0.45">
      <c r="A280" s="104" t="str">
        <f t="shared" si="45"/>
        <v/>
      </c>
      <c r="B280" s="5"/>
      <c r="C280" s="109"/>
      <c r="D280" s="107"/>
      <c r="E280" s="6"/>
      <c r="F280" s="85"/>
      <c r="G280" s="85"/>
      <c r="H280" s="104" t="str">
        <f t="shared" si="37"/>
        <v/>
      </c>
      <c r="I280" s="103" t="str">
        <f>IFERROR(INDEX(#REF!,MATCH(E280,#REF!,0)),"")</f>
        <v/>
      </c>
      <c r="J280" s="6"/>
      <c r="K280" s="103" t="str">
        <f t="shared" si="38"/>
        <v/>
      </c>
      <c r="L280" s="8"/>
      <c r="M280" s="102" t="str">
        <f t="shared" si="39"/>
        <v/>
      </c>
      <c r="N280" s="9"/>
      <c r="O280" s="103" t="str">
        <f t="shared" si="40"/>
        <v/>
      </c>
      <c r="P280" s="6"/>
      <c r="Q280" s="7"/>
      <c r="R280" s="10"/>
      <c r="S280" s="29" t="str">
        <f t="shared" ca="1" si="41"/>
        <v/>
      </c>
      <c r="T280" s="7"/>
      <c r="U280" s="74"/>
      <c r="V280" s="101">
        <f>IF(OR(T280="",U280=""),0,IFERROR(INDEX(#REF!,MATCH(T280,#REF!,0))*U280,0))</f>
        <v>0</v>
      </c>
      <c r="W280" s="7"/>
      <c r="X280" s="74"/>
      <c r="Y280" s="101">
        <f>IF(OR(W280="",X280=""),0,IFERROR(INDEX(#REF!,MATCH(W280,#REF!,0))*X280,0))</f>
        <v>0</v>
      </c>
      <c r="Z280" s="7"/>
      <c r="AA280" s="74"/>
      <c r="AB280" s="101">
        <f>IF(OR(Z280="",AA280=""),0,IFERROR(INDEX(#REF!,MATCH(Z280,#REF!,0))*AA280,0))</f>
        <v>0</v>
      </c>
      <c r="AC280" s="7"/>
      <c r="AD280" s="74"/>
      <c r="AE280" s="101">
        <f>IF(OR(AC280="",AD280=""),0,IFERROR(INDEX(#REF!,MATCH(AC280,#REF!,0))*AD280,0))</f>
        <v>0</v>
      </c>
      <c r="AF280" s="7"/>
      <c r="AG280" s="74"/>
      <c r="AH280" s="101">
        <f>IF(OR(AF280="",AG280=""),0,IFERROR(INDEX(#REF!,MATCH(AF280,#REF!,0))*AG280,0))</f>
        <v>0</v>
      </c>
      <c r="AI280" s="7"/>
      <c r="AJ280" s="74"/>
      <c r="AK280" s="101">
        <f>IF(OR(AI280="",AJ280=""),0,IFERROR(INDEX(#REF!,MATCH(AI280,#REF!,0))*AJ280,0))</f>
        <v>0</v>
      </c>
      <c r="AL280" s="101">
        <f t="shared" si="42"/>
        <v>0</v>
      </c>
      <c r="AM280" s="7"/>
      <c r="AN280" s="72"/>
      <c r="AO280" s="99">
        <f>IF(OR(AM280="",AN280=""),0,IFERROR(INDEX(#REF!,MATCH(AM280,#REF!,0))*AN280,0))</f>
        <v>0</v>
      </c>
      <c r="AP280" s="7"/>
      <c r="AQ280" s="74"/>
      <c r="AR280" s="99">
        <f>IF(OR(AP280="",AQ280=""),0,IFERROR(INDEX(#REF!,MATCH(AP280,#REF!,0))*AQ280,0))</f>
        <v>0</v>
      </c>
      <c r="AS280" s="7"/>
      <c r="AT280" s="74"/>
      <c r="AU280" s="99">
        <f>IF(OR(AS280="",AT280=""),0,IFERROR(INDEX(#REF!,MATCH(AS280,#REF!,0))*AT280,0))</f>
        <v>0</v>
      </c>
      <c r="AV280" s="7"/>
      <c r="AW280" s="74"/>
      <c r="AX280" s="99">
        <f>IF(OR(AV280="",AW280=""),0,IFERROR(INDEX(#REF!,MATCH(AV280,#REF!,0))*AW280,0))</f>
        <v>0</v>
      </c>
      <c r="AY280" s="7"/>
      <c r="AZ280" s="77"/>
      <c r="BA280" s="99">
        <f>IF(OR(AY280="",AZ280=""),0,IFERROR(INDEX(#REF!,MATCH(AY280,#REF!,0))*AZ280,0))</f>
        <v>0</v>
      </c>
      <c r="BB280" s="100">
        <f t="shared" si="43"/>
        <v>0</v>
      </c>
      <c r="BC280" s="110" t="str">
        <f t="shared" si="44"/>
        <v/>
      </c>
      <c r="BD280" s="62"/>
    </row>
    <row r="281" spans="1:56" ht="19.5" customHeight="1" x14ac:dyDescent="0.45">
      <c r="A281" s="104" t="str">
        <f t="shared" si="45"/>
        <v/>
      </c>
      <c r="B281" s="5"/>
      <c r="C281" s="109"/>
      <c r="D281" s="107"/>
      <c r="E281" s="6"/>
      <c r="F281" s="85"/>
      <c r="G281" s="85"/>
      <c r="H281" s="104" t="str">
        <f t="shared" si="37"/>
        <v/>
      </c>
      <c r="I281" s="103" t="str">
        <f>IFERROR(INDEX(#REF!,MATCH(E281,#REF!,0)),"")</f>
        <v/>
      </c>
      <c r="J281" s="6"/>
      <c r="K281" s="103" t="str">
        <f t="shared" si="38"/>
        <v/>
      </c>
      <c r="L281" s="8"/>
      <c r="M281" s="102" t="str">
        <f t="shared" si="39"/>
        <v/>
      </c>
      <c r="N281" s="9"/>
      <c r="O281" s="103" t="str">
        <f t="shared" si="40"/>
        <v/>
      </c>
      <c r="P281" s="6"/>
      <c r="Q281" s="7"/>
      <c r="R281" s="10"/>
      <c r="S281" s="29" t="str">
        <f t="shared" ca="1" si="41"/>
        <v/>
      </c>
      <c r="T281" s="7"/>
      <c r="U281" s="74"/>
      <c r="V281" s="101">
        <f>IF(OR(T281="",U281=""),0,IFERROR(INDEX(#REF!,MATCH(T281,#REF!,0))*U281,0))</f>
        <v>0</v>
      </c>
      <c r="W281" s="7"/>
      <c r="X281" s="74"/>
      <c r="Y281" s="101">
        <f>IF(OR(W281="",X281=""),0,IFERROR(INDEX(#REF!,MATCH(W281,#REF!,0))*X281,0))</f>
        <v>0</v>
      </c>
      <c r="Z281" s="7"/>
      <c r="AA281" s="74"/>
      <c r="AB281" s="101">
        <f>IF(OR(Z281="",AA281=""),0,IFERROR(INDEX(#REF!,MATCH(Z281,#REF!,0))*AA281,0))</f>
        <v>0</v>
      </c>
      <c r="AC281" s="7"/>
      <c r="AD281" s="74"/>
      <c r="AE281" s="101">
        <f>IF(OR(AC281="",AD281=""),0,IFERROR(INDEX(#REF!,MATCH(AC281,#REF!,0))*AD281,0))</f>
        <v>0</v>
      </c>
      <c r="AF281" s="7"/>
      <c r="AG281" s="74"/>
      <c r="AH281" s="101">
        <f>IF(OR(AF281="",AG281=""),0,IFERROR(INDEX(#REF!,MATCH(AF281,#REF!,0))*AG281,0))</f>
        <v>0</v>
      </c>
      <c r="AI281" s="7"/>
      <c r="AJ281" s="74"/>
      <c r="AK281" s="101">
        <f>IF(OR(AI281="",AJ281=""),0,IFERROR(INDEX(#REF!,MATCH(AI281,#REF!,0))*AJ281,0))</f>
        <v>0</v>
      </c>
      <c r="AL281" s="101">
        <f t="shared" si="42"/>
        <v>0</v>
      </c>
      <c r="AM281" s="7"/>
      <c r="AN281" s="72"/>
      <c r="AO281" s="99">
        <f>IF(OR(AM281="",AN281=""),0,IFERROR(INDEX(#REF!,MATCH(AM281,#REF!,0))*AN281,0))</f>
        <v>0</v>
      </c>
      <c r="AP281" s="7"/>
      <c r="AQ281" s="74"/>
      <c r="AR281" s="99">
        <f>IF(OR(AP281="",AQ281=""),0,IFERROR(INDEX(#REF!,MATCH(AP281,#REF!,0))*AQ281,0))</f>
        <v>0</v>
      </c>
      <c r="AS281" s="7"/>
      <c r="AT281" s="74"/>
      <c r="AU281" s="99">
        <f>IF(OR(AS281="",AT281=""),0,IFERROR(INDEX(#REF!,MATCH(AS281,#REF!,0))*AT281,0))</f>
        <v>0</v>
      </c>
      <c r="AV281" s="7"/>
      <c r="AW281" s="74"/>
      <c r="AX281" s="99">
        <f>IF(OR(AV281="",AW281=""),0,IFERROR(INDEX(#REF!,MATCH(AV281,#REF!,0))*AW281,0))</f>
        <v>0</v>
      </c>
      <c r="AY281" s="7"/>
      <c r="AZ281" s="77"/>
      <c r="BA281" s="99">
        <f>IF(OR(AY281="",AZ281=""),0,IFERROR(INDEX(#REF!,MATCH(AY281,#REF!,0))*AZ281,0))</f>
        <v>0</v>
      </c>
      <c r="BB281" s="100">
        <f t="shared" si="43"/>
        <v>0</v>
      </c>
      <c r="BC281" s="110" t="str">
        <f t="shared" si="44"/>
        <v/>
      </c>
      <c r="BD281" s="62"/>
    </row>
    <row r="282" spans="1:56" ht="19.5" customHeight="1" x14ac:dyDescent="0.45">
      <c r="A282" s="104" t="str">
        <f t="shared" si="45"/>
        <v/>
      </c>
      <c r="B282" s="5"/>
      <c r="C282" s="109"/>
      <c r="D282" s="107"/>
      <c r="E282" s="6"/>
      <c r="F282" s="85"/>
      <c r="G282" s="85"/>
      <c r="H282" s="104" t="str">
        <f t="shared" si="37"/>
        <v/>
      </c>
      <c r="I282" s="103" t="str">
        <f>IFERROR(INDEX(#REF!,MATCH(E282,#REF!,0)),"")</f>
        <v/>
      </c>
      <c r="J282" s="6"/>
      <c r="K282" s="103" t="str">
        <f t="shared" si="38"/>
        <v/>
      </c>
      <c r="L282" s="8"/>
      <c r="M282" s="102" t="str">
        <f t="shared" si="39"/>
        <v/>
      </c>
      <c r="N282" s="9"/>
      <c r="O282" s="103" t="str">
        <f t="shared" si="40"/>
        <v/>
      </c>
      <c r="P282" s="6"/>
      <c r="Q282" s="7"/>
      <c r="R282" s="10"/>
      <c r="S282" s="29" t="str">
        <f t="shared" ca="1" si="41"/>
        <v/>
      </c>
      <c r="T282" s="7"/>
      <c r="U282" s="74"/>
      <c r="V282" s="101">
        <f>IF(OR(T282="",U282=""),0,IFERROR(INDEX(#REF!,MATCH(T282,#REF!,0))*U282,0))</f>
        <v>0</v>
      </c>
      <c r="W282" s="7"/>
      <c r="X282" s="74"/>
      <c r="Y282" s="101">
        <f>IF(OR(W282="",X282=""),0,IFERROR(INDEX(#REF!,MATCH(W282,#REF!,0))*X282,0))</f>
        <v>0</v>
      </c>
      <c r="Z282" s="7"/>
      <c r="AA282" s="74"/>
      <c r="AB282" s="101">
        <f>IF(OR(Z282="",AA282=""),0,IFERROR(INDEX(#REF!,MATCH(Z282,#REF!,0))*AA282,0))</f>
        <v>0</v>
      </c>
      <c r="AC282" s="7"/>
      <c r="AD282" s="74"/>
      <c r="AE282" s="101">
        <f>IF(OR(AC282="",AD282=""),0,IFERROR(INDEX(#REF!,MATCH(AC282,#REF!,0))*AD282,0))</f>
        <v>0</v>
      </c>
      <c r="AF282" s="7"/>
      <c r="AG282" s="74"/>
      <c r="AH282" s="101">
        <f>IF(OR(AF282="",AG282=""),0,IFERROR(INDEX(#REF!,MATCH(AF282,#REF!,0))*AG282,0))</f>
        <v>0</v>
      </c>
      <c r="AI282" s="7"/>
      <c r="AJ282" s="74"/>
      <c r="AK282" s="101">
        <f>IF(OR(AI282="",AJ282=""),0,IFERROR(INDEX(#REF!,MATCH(AI282,#REF!,0))*AJ282,0))</f>
        <v>0</v>
      </c>
      <c r="AL282" s="101">
        <f t="shared" si="42"/>
        <v>0</v>
      </c>
      <c r="AM282" s="7"/>
      <c r="AN282" s="72"/>
      <c r="AO282" s="99">
        <f>IF(OR(AM282="",AN282=""),0,IFERROR(INDEX(#REF!,MATCH(AM282,#REF!,0))*AN282,0))</f>
        <v>0</v>
      </c>
      <c r="AP282" s="7"/>
      <c r="AQ282" s="74"/>
      <c r="AR282" s="99">
        <f>IF(OR(AP282="",AQ282=""),0,IFERROR(INDEX(#REF!,MATCH(AP282,#REF!,0))*AQ282,0))</f>
        <v>0</v>
      </c>
      <c r="AS282" s="7"/>
      <c r="AT282" s="74"/>
      <c r="AU282" s="99">
        <f>IF(OR(AS282="",AT282=""),0,IFERROR(INDEX(#REF!,MATCH(AS282,#REF!,0))*AT282,0))</f>
        <v>0</v>
      </c>
      <c r="AV282" s="7"/>
      <c r="AW282" s="74"/>
      <c r="AX282" s="99">
        <f>IF(OR(AV282="",AW282=""),0,IFERROR(INDEX(#REF!,MATCH(AV282,#REF!,0))*AW282,0))</f>
        <v>0</v>
      </c>
      <c r="AY282" s="7"/>
      <c r="AZ282" s="77"/>
      <c r="BA282" s="99">
        <f>IF(OR(AY282="",AZ282=""),0,IFERROR(INDEX(#REF!,MATCH(AY282,#REF!,0))*AZ282,0))</f>
        <v>0</v>
      </c>
      <c r="BB282" s="100">
        <f t="shared" si="43"/>
        <v>0</v>
      </c>
      <c r="BC282" s="110" t="str">
        <f t="shared" si="44"/>
        <v/>
      </c>
      <c r="BD282" s="62"/>
    </row>
    <row r="283" spans="1:56" ht="19.5" customHeight="1" x14ac:dyDescent="0.45">
      <c r="A283" s="104" t="str">
        <f t="shared" si="45"/>
        <v/>
      </c>
      <c r="B283" s="5"/>
      <c r="C283" s="109"/>
      <c r="D283" s="107"/>
      <c r="E283" s="6"/>
      <c r="F283" s="85"/>
      <c r="G283" s="85"/>
      <c r="H283" s="104" t="str">
        <f t="shared" si="37"/>
        <v/>
      </c>
      <c r="I283" s="103" t="str">
        <f>IFERROR(INDEX(#REF!,MATCH(E283,#REF!,0)),"")</f>
        <v/>
      </c>
      <c r="J283" s="6"/>
      <c r="K283" s="103" t="str">
        <f t="shared" si="38"/>
        <v/>
      </c>
      <c r="L283" s="8"/>
      <c r="M283" s="102" t="str">
        <f t="shared" si="39"/>
        <v/>
      </c>
      <c r="N283" s="9"/>
      <c r="O283" s="103" t="str">
        <f t="shared" si="40"/>
        <v/>
      </c>
      <c r="P283" s="6"/>
      <c r="Q283" s="7"/>
      <c r="R283" s="10"/>
      <c r="S283" s="29" t="str">
        <f t="shared" ca="1" si="41"/>
        <v/>
      </c>
      <c r="T283" s="7"/>
      <c r="U283" s="74"/>
      <c r="V283" s="101">
        <f>IF(OR(T283="",U283=""),0,IFERROR(INDEX(#REF!,MATCH(T283,#REF!,0))*U283,0))</f>
        <v>0</v>
      </c>
      <c r="W283" s="7"/>
      <c r="X283" s="74"/>
      <c r="Y283" s="101">
        <f>IF(OR(W283="",X283=""),0,IFERROR(INDEX(#REF!,MATCH(W283,#REF!,0))*X283,0))</f>
        <v>0</v>
      </c>
      <c r="Z283" s="7"/>
      <c r="AA283" s="74"/>
      <c r="AB283" s="101">
        <f>IF(OR(Z283="",AA283=""),0,IFERROR(INDEX(#REF!,MATCH(Z283,#REF!,0))*AA283,0))</f>
        <v>0</v>
      </c>
      <c r="AC283" s="7"/>
      <c r="AD283" s="74"/>
      <c r="AE283" s="101">
        <f>IF(OR(AC283="",AD283=""),0,IFERROR(INDEX(#REF!,MATCH(AC283,#REF!,0))*AD283,0))</f>
        <v>0</v>
      </c>
      <c r="AF283" s="7"/>
      <c r="AG283" s="74"/>
      <c r="AH283" s="101">
        <f>IF(OR(AF283="",AG283=""),0,IFERROR(INDEX(#REF!,MATCH(AF283,#REF!,0))*AG283,0))</f>
        <v>0</v>
      </c>
      <c r="AI283" s="7"/>
      <c r="AJ283" s="74"/>
      <c r="AK283" s="101">
        <f>IF(OR(AI283="",AJ283=""),0,IFERROR(INDEX(#REF!,MATCH(AI283,#REF!,0))*AJ283,0))</f>
        <v>0</v>
      </c>
      <c r="AL283" s="101">
        <f t="shared" si="42"/>
        <v>0</v>
      </c>
      <c r="AM283" s="7"/>
      <c r="AN283" s="72"/>
      <c r="AO283" s="99">
        <f>IF(OR(AM283="",AN283=""),0,IFERROR(INDEX(#REF!,MATCH(AM283,#REF!,0))*AN283,0))</f>
        <v>0</v>
      </c>
      <c r="AP283" s="7"/>
      <c r="AQ283" s="74"/>
      <c r="AR283" s="99">
        <f>IF(OR(AP283="",AQ283=""),0,IFERROR(INDEX(#REF!,MATCH(AP283,#REF!,0))*AQ283,0))</f>
        <v>0</v>
      </c>
      <c r="AS283" s="7"/>
      <c r="AT283" s="74"/>
      <c r="AU283" s="99">
        <f>IF(OR(AS283="",AT283=""),0,IFERROR(INDEX(#REF!,MATCH(AS283,#REF!,0))*AT283,0))</f>
        <v>0</v>
      </c>
      <c r="AV283" s="7"/>
      <c r="AW283" s="74"/>
      <c r="AX283" s="99">
        <f>IF(OR(AV283="",AW283=""),0,IFERROR(INDEX(#REF!,MATCH(AV283,#REF!,0))*AW283,0))</f>
        <v>0</v>
      </c>
      <c r="AY283" s="7"/>
      <c r="AZ283" s="77"/>
      <c r="BA283" s="99">
        <f>IF(OR(AY283="",AZ283=""),0,IFERROR(INDEX(#REF!,MATCH(AY283,#REF!,0))*AZ283,0))</f>
        <v>0</v>
      </c>
      <c r="BB283" s="100">
        <f t="shared" si="43"/>
        <v>0</v>
      </c>
      <c r="BC283" s="110" t="str">
        <f t="shared" si="44"/>
        <v/>
      </c>
      <c r="BD283" s="62"/>
    </row>
    <row r="284" spans="1:56" ht="19.5" customHeight="1" x14ac:dyDescent="0.45">
      <c r="A284" s="104" t="str">
        <f t="shared" si="45"/>
        <v/>
      </c>
      <c r="B284" s="5"/>
      <c r="C284" s="109"/>
      <c r="D284" s="107"/>
      <c r="E284" s="6"/>
      <c r="F284" s="85"/>
      <c r="G284" s="85"/>
      <c r="H284" s="104" t="str">
        <f t="shared" si="37"/>
        <v/>
      </c>
      <c r="I284" s="103" t="str">
        <f>IFERROR(INDEX(#REF!,MATCH(E284,#REF!,0)),"")</f>
        <v/>
      </c>
      <c r="J284" s="6"/>
      <c r="K284" s="103" t="str">
        <f t="shared" si="38"/>
        <v/>
      </c>
      <c r="L284" s="8"/>
      <c r="M284" s="102" t="str">
        <f t="shared" si="39"/>
        <v/>
      </c>
      <c r="N284" s="9"/>
      <c r="O284" s="103" t="str">
        <f t="shared" si="40"/>
        <v/>
      </c>
      <c r="P284" s="6"/>
      <c r="Q284" s="7"/>
      <c r="R284" s="10"/>
      <c r="S284" s="29" t="str">
        <f t="shared" ca="1" si="41"/>
        <v/>
      </c>
      <c r="T284" s="7"/>
      <c r="U284" s="74"/>
      <c r="V284" s="101">
        <f>IF(OR(T284="",U284=""),0,IFERROR(INDEX(#REF!,MATCH(T284,#REF!,0))*U284,0))</f>
        <v>0</v>
      </c>
      <c r="W284" s="7"/>
      <c r="X284" s="74"/>
      <c r="Y284" s="101">
        <f>IF(OR(W284="",X284=""),0,IFERROR(INDEX(#REF!,MATCH(W284,#REF!,0))*X284,0))</f>
        <v>0</v>
      </c>
      <c r="Z284" s="7"/>
      <c r="AA284" s="74"/>
      <c r="AB284" s="101">
        <f>IF(OR(Z284="",AA284=""),0,IFERROR(INDEX(#REF!,MATCH(Z284,#REF!,0))*AA284,0))</f>
        <v>0</v>
      </c>
      <c r="AC284" s="7"/>
      <c r="AD284" s="74"/>
      <c r="AE284" s="101">
        <f>IF(OR(AC284="",AD284=""),0,IFERROR(INDEX(#REF!,MATCH(AC284,#REF!,0))*AD284,0))</f>
        <v>0</v>
      </c>
      <c r="AF284" s="7"/>
      <c r="AG284" s="74"/>
      <c r="AH284" s="101">
        <f>IF(OR(AF284="",AG284=""),0,IFERROR(INDEX(#REF!,MATCH(AF284,#REF!,0))*AG284,0))</f>
        <v>0</v>
      </c>
      <c r="AI284" s="7"/>
      <c r="AJ284" s="74"/>
      <c r="AK284" s="101">
        <f>IF(OR(AI284="",AJ284=""),0,IFERROR(INDEX(#REF!,MATCH(AI284,#REF!,0))*AJ284,0))</f>
        <v>0</v>
      </c>
      <c r="AL284" s="101">
        <f t="shared" si="42"/>
        <v>0</v>
      </c>
      <c r="AM284" s="7"/>
      <c r="AN284" s="72"/>
      <c r="AO284" s="99">
        <f>IF(OR(AM284="",AN284=""),0,IFERROR(INDEX(#REF!,MATCH(AM284,#REF!,0))*AN284,0))</f>
        <v>0</v>
      </c>
      <c r="AP284" s="7"/>
      <c r="AQ284" s="74"/>
      <c r="AR284" s="99">
        <f>IF(OR(AP284="",AQ284=""),0,IFERROR(INDEX(#REF!,MATCH(AP284,#REF!,0))*AQ284,0))</f>
        <v>0</v>
      </c>
      <c r="AS284" s="7"/>
      <c r="AT284" s="74"/>
      <c r="AU284" s="99">
        <f>IF(OR(AS284="",AT284=""),0,IFERROR(INDEX(#REF!,MATCH(AS284,#REF!,0))*AT284,0))</f>
        <v>0</v>
      </c>
      <c r="AV284" s="7"/>
      <c r="AW284" s="74"/>
      <c r="AX284" s="99">
        <f>IF(OR(AV284="",AW284=""),0,IFERROR(INDEX(#REF!,MATCH(AV284,#REF!,0))*AW284,0))</f>
        <v>0</v>
      </c>
      <c r="AY284" s="7"/>
      <c r="AZ284" s="77"/>
      <c r="BA284" s="99">
        <f>IF(OR(AY284="",AZ284=""),0,IFERROR(INDEX(#REF!,MATCH(AY284,#REF!,0))*AZ284,0))</f>
        <v>0</v>
      </c>
      <c r="BB284" s="100">
        <f t="shared" si="43"/>
        <v>0</v>
      </c>
      <c r="BC284" s="110" t="str">
        <f t="shared" si="44"/>
        <v/>
      </c>
      <c r="BD284" s="62"/>
    </row>
    <row r="285" spans="1:56" ht="19.5" customHeight="1" x14ac:dyDescent="0.45">
      <c r="A285" s="104" t="str">
        <f t="shared" si="45"/>
        <v/>
      </c>
      <c r="B285" s="5"/>
      <c r="C285" s="109"/>
      <c r="D285" s="107"/>
      <c r="E285" s="6"/>
      <c r="F285" s="85"/>
      <c r="G285" s="85"/>
      <c r="H285" s="104" t="str">
        <f t="shared" si="37"/>
        <v/>
      </c>
      <c r="I285" s="103" t="str">
        <f>IFERROR(INDEX(#REF!,MATCH(E285,#REF!,0)),"")</f>
        <v/>
      </c>
      <c r="J285" s="6"/>
      <c r="K285" s="103" t="str">
        <f t="shared" si="38"/>
        <v/>
      </c>
      <c r="L285" s="8"/>
      <c r="M285" s="102" t="str">
        <f t="shared" si="39"/>
        <v/>
      </c>
      <c r="N285" s="9"/>
      <c r="O285" s="103" t="str">
        <f t="shared" si="40"/>
        <v/>
      </c>
      <c r="P285" s="6"/>
      <c r="Q285" s="7"/>
      <c r="R285" s="10"/>
      <c r="S285" s="29" t="str">
        <f t="shared" ca="1" si="41"/>
        <v/>
      </c>
      <c r="T285" s="7"/>
      <c r="U285" s="74"/>
      <c r="V285" s="101">
        <f>IF(OR(T285="",U285=""),0,IFERROR(INDEX(#REF!,MATCH(T285,#REF!,0))*U285,0))</f>
        <v>0</v>
      </c>
      <c r="W285" s="7"/>
      <c r="X285" s="74"/>
      <c r="Y285" s="101">
        <f>IF(OR(W285="",X285=""),0,IFERROR(INDEX(#REF!,MATCH(W285,#REF!,0))*X285,0))</f>
        <v>0</v>
      </c>
      <c r="Z285" s="7"/>
      <c r="AA285" s="74"/>
      <c r="AB285" s="101">
        <f>IF(OR(Z285="",AA285=""),0,IFERROR(INDEX(#REF!,MATCH(Z285,#REF!,0))*AA285,0))</f>
        <v>0</v>
      </c>
      <c r="AC285" s="7"/>
      <c r="AD285" s="74"/>
      <c r="AE285" s="101">
        <f>IF(OR(AC285="",AD285=""),0,IFERROR(INDEX(#REF!,MATCH(AC285,#REF!,0))*AD285,0))</f>
        <v>0</v>
      </c>
      <c r="AF285" s="7"/>
      <c r="AG285" s="74"/>
      <c r="AH285" s="101">
        <f>IF(OR(AF285="",AG285=""),0,IFERROR(INDEX(#REF!,MATCH(AF285,#REF!,0))*AG285,0))</f>
        <v>0</v>
      </c>
      <c r="AI285" s="7"/>
      <c r="AJ285" s="74"/>
      <c r="AK285" s="101">
        <f>IF(OR(AI285="",AJ285=""),0,IFERROR(INDEX(#REF!,MATCH(AI285,#REF!,0))*AJ285,0))</f>
        <v>0</v>
      </c>
      <c r="AL285" s="101">
        <f t="shared" si="42"/>
        <v>0</v>
      </c>
      <c r="AM285" s="7"/>
      <c r="AN285" s="72"/>
      <c r="AO285" s="99">
        <f>IF(OR(AM285="",AN285=""),0,IFERROR(INDEX(#REF!,MATCH(AM285,#REF!,0))*AN285,0))</f>
        <v>0</v>
      </c>
      <c r="AP285" s="7"/>
      <c r="AQ285" s="74"/>
      <c r="AR285" s="99">
        <f>IF(OR(AP285="",AQ285=""),0,IFERROR(INDEX(#REF!,MATCH(AP285,#REF!,0))*AQ285,0))</f>
        <v>0</v>
      </c>
      <c r="AS285" s="7"/>
      <c r="AT285" s="74"/>
      <c r="AU285" s="99">
        <f>IF(OR(AS285="",AT285=""),0,IFERROR(INDEX(#REF!,MATCH(AS285,#REF!,0))*AT285,0))</f>
        <v>0</v>
      </c>
      <c r="AV285" s="7"/>
      <c r="AW285" s="74"/>
      <c r="AX285" s="99">
        <f>IF(OR(AV285="",AW285=""),0,IFERROR(INDEX(#REF!,MATCH(AV285,#REF!,0))*AW285,0))</f>
        <v>0</v>
      </c>
      <c r="AY285" s="7"/>
      <c r="AZ285" s="77"/>
      <c r="BA285" s="99">
        <f>IF(OR(AY285="",AZ285=""),0,IFERROR(INDEX(#REF!,MATCH(AY285,#REF!,0))*AZ285,0))</f>
        <v>0</v>
      </c>
      <c r="BB285" s="100">
        <f t="shared" si="43"/>
        <v>0</v>
      </c>
      <c r="BC285" s="110" t="str">
        <f t="shared" si="44"/>
        <v/>
      </c>
      <c r="BD285" s="62"/>
    </row>
    <row r="286" spans="1:56" ht="19.5" customHeight="1" x14ac:dyDescent="0.45">
      <c r="A286" s="104" t="str">
        <f t="shared" si="45"/>
        <v/>
      </c>
      <c r="B286" s="5"/>
      <c r="C286" s="109"/>
      <c r="D286" s="107"/>
      <c r="E286" s="6"/>
      <c r="F286" s="85"/>
      <c r="G286" s="85"/>
      <c r="H286" s="104" t="str">
        <f t="shared" si="37"/>
        <v/>
      </c>
      <c r="I286" s="103" t="str">
        <f>IFERROR(INDEX(#REF!,MATCH(E286,#REF!,0)),"")</f>
        <v/>
      </c>
      <c r="J286" s="6"/>
      <c r="K286" s="103" t="str">
        <f t="shared" si="38"/>
        <v/>
      </c>
      <c r="L286" s="8"/>
      <c r="M286" s="102" t="str">
        <f t="shared" si="39"/>
        <v/>
      </c>
      <c r="N286" s="9"/>
      <c r="O286" s="103" t="str">
        <f t="shared" si="40"/>
        <v/>
      </c>
      <c r="P286" s="6"/>
      <c r="Q286" s="7"/>
      <c r="R286" s="10"/>
      <c r="S286" s="29" t="str">
        <f t="shared" ca="1" si="41"/>
        <v/>
      </c>
      <c r="T286" s="7"/>
      <c r="U286" s="74"/>
      <c r="V286" s="101">
        <f>IF(OR(T286="",U286=""),0,IFERROR(INDEX(#REF!,MATCH(T286,#REF!,0))*U286,0))</f>
        <v>0</v>
      </c>
      <c r="W286" s="7"/>
      <c r="X286" s="74"/>
      <c r="Y286" s="101">
        <f>IF(OR(W286="",X286=""),0,IFERROR(INDEX(#REF!,MATCH(W286,#REF!,0))*X286,0))</f>
        <v>0</v>
      </c>
      <c r="Z286" s="7"/>
      <c r="AA286" s="74"/>
      <c r="AB286" s="101">
        <f>IF(OR(Z286="",AA286=""),0,IFERROR(INDEX(#REF!,MATCH(Z286,#REF!,0))*AA286,0))</f>
        <v>0</v>
      </c>
      <c r="AC286" s="7"/>
      <c r="AD286" s="74"/>
      <c r="AE286" s="101">
        <f>IF(OR(AC286="",AD286=""),0,IFERROR(INDEX(#REF!,MATCH(AC286,#REF!,0))*AD286,0))</f>
        <v>0</v>
      </c>
      <c r="AF286" s="7"/>
      <c r="AG286" s="74"/>
      <c r="AH286" s="101">
        <f>IF(OR(AF286="",AG286=""),0,IFERROR(INDEX(#REF!,MATCH(AF286,#REF!,0))*AG286,0))</f>
        <v>0</v>
      </c>
      <c r="AI286" s="7"/>
      <c r="AJ286" s="74"/>
      <c r="AK286" s="101">
        <f>IF(OR(AI286="",AJ286=""),0,IFERROR(INDEX(#REF!,MATCH(AI286,#REF!,0))*AJ286,0))</f>
        <v>0</v>
      </c>
      <c r="AL286" s="101">
        <f t="shared" si="42"/>
        <v>0</v>
      </c>
      <c r="AM286" s="7"/>
      <c r="AN286" s="72"/>
      <c r="AO286" s="99">
        <f>IF(OR(AM286="",AN286=""),0,IFERROR(INDEX(#REF!,MATCH(AM286,#REF!,0))*AN286,0))</f>
        <v>0</v>
      </c>
      <c r="AP286" s="7"/>
      <c r="AQ286" s="74"/>
      <c r="AR286" s="99">
        <f>IF(OR(AP286="",AQ286=""),0,IFERROR(INDEX(#REF!,MATCH(AP286,#REF!,0))*AQ286,0))</f>
        <v>0</v>
      </c>
      <c r="AS286" s="7"/>
      <c r="AT286" s="74"/>
      <c r="AU286" s="99">
        <f>IF(OR(AS286="",AT286=""),0,IFERROR(INDEX(#REF!,MATCH(AS286,#REF!,0))*AT286,0))</f>
        <v>0</v>
      </c>
      <c r="AV286" s="7"/>
      <c r="AW286" s="74"/>
      <c r="AX286" s="99">
        <f>IF(OR(AV286="",AW286=""),0,IFERROR(INDEX(#REF!,MATCH(AV286,#REF!,0))*AW286,0))</f>
        <v>0</v>
      </c>
      <c r="AY286" s="7"/>
      <c r="AZ286" s="77"/>
      <c r="BA286" s="99">
        <f>IF(OR(AY286="",AZ286=""),0,IFERROR(INDEX(#REF!,MATCH(AY286,#REF!,0))*AZ286,0))</f>
        <v>0</v>
      </c>
      <c r="BB286" s="100">
        <f t="shared" si="43"/>
        <v>0</v>
      </c>
      <c r="BC286" s="110" t="str">
        <f t="shared" si="44"/>
        <v/>
      </c>
      <c r="BD286" s="62"/>
    </row>
    <row r="287" spans="1:56" ht="19.5" customHeight="1" x14ac:dyDescent="0.45">
      <c r="A287" s="104" t="str">
        <f t="shared" si="45"/>
        <v/>
      </c>
      <c r="B287" s="5"/>
      <c r="C287" s="109"/>
      <c r="D287" s="107"/>
      <c r="E287" s="6"/>
      <c r="F287" s="85"/>
      <c r="G287" s="85"/>
      <c r="H287" s="104" t="str">
        <f t="shared" si="37"/>
        <v/>
      </c>
      <c r="I287" s="103" t="str">
        <f>IFERROR(INDEX(#REF!,MATCH(E287,#REF!,0)),"")</f>
        <v/>
      </c>
      <c r="J287" s="6"/>
      <c r="K287" s="103" t="str">
        <f t="shared" si="38"/>
        <v/>
      </c>
      <c r="L287" s="8"/>
      <c r="M287" s="102" t="str">
        <f t="shared" si="39"/>
        <v/>
      </c>
      <c r="N287" s="9"/>
      <c r="O287" s="103" t="str">
        <f t="shared" si="40"/>
        <v/>
      </c>
      <c r="P287" s="6"/>
      <c r="Q287" s="7"/>
      <c r="R287" s="10"/>
      <c r="S287" s="29" t="str">
        <f t="shared" ca="1" si="41"/>
        <v/>
      </c>
      <c r="T287" s="7"/>
      <c r="U287" s="74"/>
      <c r="V287" s="101">
        <f>IF(OR(T287="",U287=""),0,IFERROR(INDEX(#REF!,MATCH(T287,#REF!,0))*U287,0))</f>
        <v>0</v>
      </c>
      <c r="W287" s="7"/>
      <c r="X287" s="74"/>
      <c r="Y287" s="101">
        <f>IF(OR(W287="",X287=""),0,IFERROR(INDEX(#REF!,MATCH(W287,#REF!,0))*X287,0))</f>
        <v>0</v>
      </c>
      <c r="Z287" s="7"/>
      <c r="AA287" s="74"/>
      <c r="AB287" s="101">
        <f>IF(OR(Z287="",AA287=""),0,IFERROR(INDEX(#REF!,MATCH(Z287,#REF!,0))*AA287,0))</f>
        <v>0</v>
      </c>
      <c r="AC287" s="7"/>
      <c r="AD287" s="74"/>
      <c r="AE287" s="101">
        <f>IF(OR(AC287="",AD287=""),0,IFERROR(INDEX(#REF!,MATCH(AC287,#REF!,0))*AD287,0))</f>
        <v>0</v>
      </c>
      <c r="AF287" s="7"/>
      <c r="AG287" s="74"/>
      <c r="AH287" s="101">
        <f>IF(OR(AF287="",AG287=""),0,IFERROR(INDEX(#REF!,MATCH(AF287,#REF!,0))*AG287,0))</f>
        <v>0</v>
      </c>
      <c r="AI287" s="7"/>
      <c r="AJ287" s="74"/>
      <c r="AK287" s="101">
        <f>IF(OR(AI287="",AJ287=""),0,IFERROR(INDEX(#REF!,MATCH(AI287,#REF!,0))*AJ287,0))</f>
        <v>0</v>
      </c>
      <c r="AL287" s="101">
        <f t="shared" si="42"/>
        <v>0</v>
      </c>
      <c r="AM287" s="7"/>
      <c r="AN287" s="72"/>
      <c r="AO287" s="99">
        <f>IF(OR(AM287="",AN287=""),0,IFERROR(INDEX(#REF!,MATCH(AM287,#REF!,0))*AN287,0))</f>
        <v>0</v>
      </c>
      <c r="AP287" s="7"/>
      <c r="AQ287" s="74"/>
      <c r="AR287" s="99">
        <f>IF(OR(AP287="",AQ287=""),0,IFERROR(INDEX(#REF!,MATCH(AP287,#REF!,0))*AQ287,0))</f>
        <v>0</v>
      </c>
      <c r="AS287" s="7"/>
      <c r="AT287" s="74"/>
      <c r="AU287" s="99">
        <f>IF(OR(AS287="",AT287=""),0,IFERROR(INDEX(#REF!,MATCH(AS287,#REF!,0))*AT287,0))</f>
        <v>0</v>
      </c>
      <c r="AV287" s="7"/>
      <c r="AW287" s="74"/>
      <c r="AX287" s="99">
        <f>IF(OR(AV287="",AW287=""),0,IFERROR(INDEX(#REF!,MATCH(AV287,#REF!,0))*AW287,0))</f>
        <v>0</v>
      </c>
      <c r="AY287" s="7"/>
      <c r="AZ287" s="77"/>
      <c r="BA287" s="99">
        <f>IF(OR(AY287="",AZ287=""),0,IFERROR(INDEX(#REF!,MATCH(AY287,#REF!,0))*AZ287,0))</f>
        <v>0</v>
      </c>
      <c r="BB287" s="100">
        <f t="shared" si="43"/>
        <v>0</v>
      </c>
      <c r="BC287" s="110" t="str">
        <f t="shared" si="44"/>
        <v/>
      </c>
      <c r="BD287" s="62"/>
    </row>
    <row r="288" spans="1:56" ht="19.5" customHeight="1" x14ac:dyDescent="0.45">
      <c r="A288" s="104" t="str">
        <f t="shared" si="45"/>
        <v/>
      </c>
      <c r="B288" s="5"/>
      <c r="C288" s="109"/>
      <c r="D288" s="107"/>
      <c r="E288" s="6"/>
      <c r="F288" s="85"/>
      <c r="G288" s="85"/>
      <c r="H288" s="104" t="str">
        <f t="shared" si="37"/>
        <v/>
      </c>
      <c r="I288" s="103" t="str">
        <f>IFERROR(INDEX(#REF!,MATCH(E288,#REF!,0)),"")</f>
        <v/>
      </c>
      <c r="J288" s="6"/>
      <c r="K288" s="103" t="str">
        <f t="shared" si="38"/>
        <v/>
      </c>
      <c r="L288" s="8"/>
      <c r="M288" s="102" t="str">
        <f t="shared" si="39"/>
        <v/>
      </c>
      <c r="N288" s="9"/>
      <c r="O288" s="103" t="str">
        <f t="shared" si="40"/>
        <v/>
      </c>
      <c r="P288" s="6"/>
      <c r="Q288" s="7"/>
      <c r="R288" s="10"/>
      <c r="S288" s="29" t="str">
        <f t="shared" ca="1" si="41"/>
        <v/>
      </c>
      <c r="T288" s="7"/>
      <c r="U288" s="74"/>
      <c r="V288" s="101">
        <f>IF(OR(T288="",U288=""),0,IFERROR(INDEX(#REF!,MATCH(T288,#REF!,0))*U288,0))</f>
        <v>0</v>
      </c>
      <c r="W288" s="7"/>
      <c r="X288" s="74"/>
      <c r="Y288" s="101">
        <f>IF(OR(W288="",X288=""),0,IFERROR(INDEX(#REF!,MATCH(W288,#REF!,0))*X288,0))</f>
        <v>0</v>
      </c>
      <c r="Z288" s="7"/>
      <c r="AA288" s="74"/>
      <c r="AB288" s="101">
        <f>IF(OR(Z288="",AA288=""),0,IFERROR(INDEX(#REF!,MATCH(Z288,#REF!,0))*AA288,0))</f>
        <v>0</v>
      </c>
      <c r="AC288" s="7"/>
      <c r="AD288" s="74"/>
      <c r="AE288" s="101">
        <f>IF(OR(AC288="",AD288=""),0,IFERROR(INDEX(#REF!,MATCH(AC288,#REF!,0))*AD288,0))</f>
        <v>0</v>
      </c>
      <c r="AF288" s="7"/>
      <c r="AG288" s="74"/>
      <c r="AH288" s="101">
        <f>IF(OR(AF288="",AG288=""),0,IFERROR(INDEX(#REF!,MATCH(AF288,#REF!,0))*AG288,0))</f>
        <v>0</v>
      </c>
      <c r="AI288" s="7"/>
      <c r="AJ288" s="74"/>
      <c r="AK288" s="101">
        <f>IF(OR(AI288="",AJ288=""),0,IFERROR(INDEX(#REF!,MATCH(AI288,#REF!,0))*AJ288,0))</f>
        <v>0</v>
      </c>
      <c r="AL288" s="101">
        <f t="shared" si="42"/>
        <v>0</v>
      </c>
      <c r="AM288" s="7"/>
      <c r="AN288" s="72"/>
      <c r="AO288" s="99">
        <f>IF(OR(AM288="",AN288=""),0,IFERROR(INDEX(#REF!,MATCH(AM288,#REF!,0))*AN288,0))</f>
        <v>0</v>
      </c>
      <c r="AP288" s="7"/>
      <c r="AQ288" s="74"/>
      <c r="AR288" s="99">
        <f>IF(OR(AP288="",AQ288=""),0,IFERROR(INDEX(#REF!,MATCH(AP288,#REF!,0))*AQ288,0))</f>
        <v>0</v>
      </c>
      <c r="AS288" s="7"/>
      <c r="AT288" s="74"/>
      <c r="AU288" s="99">
        <f>IF(OR(AS288="",AT288=""),0,IFERROR(INDEX(#REF!,MATCH(AS288,#REF!,0))*AT288,0))</f>
        <v>0</v>
      </c>
      <c r="AV288" s="7"/>
      <c r="AW288" s="74"/>
      <c r="AX288" s="99">
        <f>IF(OR(AV288="",AW288=""),0,IFERROR(INDEX(#REF!,MATCH(AV288,#REF!,0))*AW288,0))</f>
        <v>0</v>
      </c>
      <c r="AY288" s="7"/>
      <c r="AZ288" s="77"/>
      <c r="BA288" s="99">
        <f>IF(OR(AY288="",AZ288=""),0,IFERROR(INDEX(#REF!,MATCH(AY288,#REF!,0))*AZ288,0))</f>
        <v>0</v>
      </c>
      <c r="BB288" s="100">
        <f t="shared" si="43"/>
        <v>0</v>
      </c>
      <c r="BC288" s="110" t="str">
        <f t="shared" si="44"/>
        <v/>
      </c>
      <c r="BD288" s="62"/>
    </row>
    <row r="289" spans="1:56" ht="19.5" customHeight="1" x14ac:dyDescent="0.45">
      <c r="A289" s="104" t="str">
        <f t="shared" si="45"/>
        <v/>
      </c>
      <c r="B289" s="5"/>
      <c r="C289" s="109"/>
      <c r="D289" s="107"/>
      <c r="E289" s="6"/>
      <c r="F289" s="85"/>
      <c r="G289" s="85"/>
      <c r="H289" s="104" t="str">
        <f t="shared" si="37"/>
        <v/>
      </c>
      <c r="I289" s="103" t="str">
        <f>IFERROR(INDEX(#REF!,MATCH(E289,#REF!,0)),"")</f>
        <v/>
      </c>
      <c r="J289" s="6"/>
      <c r="K289" s="103" t="str">
        <f t="shared" si="38"/>
        <v/>
      </c>
      <c r="L289" s="8"/>
      <c r="M289" s="102" t="str">
        <f t="shared" si="39"/>
        <v/>
      </c>
      <c r="N289" s="9"/>
      <c r="O289" s="103" t="str">
        <f t="shared" si="40"/>
        <v/>
      </c>
      <c r="P289" s="6"/>
      <c r="Q289" s="7"/>
      <c r="R289" s="10"/>
      <c r="S289" s="29" t="str">
        <f t="shared" ca="1" si="41"/>
        <v/>
      </c>
      <c r="T289" s="7"/>
      <c r="U289" s="74"/>
      <c r="V289" s="101">
        <f>IF(OR(T289="",U289=""),0,IFERROR(INDEX(#REF!,MATCH(T289,#REF!,0))*U289,0))</f>
        <v>0</v>
      </c>
      <c r="W289" s="7"/>
      <c r="X289" s="74"/>
      <c r="Y289" s="101">
        <f>IF(OR(W289="",X289=""),0,IFERROR(INDEX(#REF!,MATCH(W289,#REF!,0))*X289,0))</f>
        <v>0</v>
      </c>
      <c r="Z289" s="7"/>
      <c r="AA289" s="74"/>
      <c r="AB289" s="101">
        <f>IF(OR(Z289="",AA289=""),0,IFERROR(INDEX(#REF!,MATCH(Z289,#REF!,0))*AA289,0))</f>
        <v>0</v>
      </c>
      <c r="AC289" s="7"/>
      <c r="AD289" s="74"/>
      <c r="AE289" s="101">
        <f>IF(OR(AC289="",AD289=""),0,IFERROR(INDEX(#REF!,MATCH(AC289,#REF!,0))*AD289,0))</f>
        <v>0</v>
      </c>
      <c r="AF289" s="7"/>
      <c r="AG289" s="74"/>
      <c r="AH289" s="101">
        <f>IF(OR(AF289="",AG289=""),0,IFERROR(INDEX(#REF!,MATCH(AF289,#REF!,0))*AG289,0))</f>
        <v>0</v>
      </c>
      <c r="AI289" s="7"/>
      <c r="AJ289" s="74"/>
      <c r="AK289" s="101">
        <f>IF(OR(AI289="",AJ289=""),0,IFERROR(INDEX(#REF!,MATCH(AI289,#REF!,0))*AJ289,0))</f>
        <v>0</v>
      </c>
      <c r="AL289" s="101">
        <f t="shared" si="42"/>
        <v>0</v>
      </c>
      <c r="AM289" s="7"/>
      <c r="AN289" s="72"/>
      <c r="AO289" s="99">
        <f>IF(OR(AM289="",AN289=""),0,IFERROR(INDEX(#REF!,MATCH(AM289,#REF!,0))*AN289,0))</f>
        <v>0</v>
      </c>
      <c r="AP289" s="7"/>
      <c r="AQ289" s="74"/>
      <c r="AR289" s="99">
        <f>IF(OR(AP289="",AQ289=""),0,IFERROR(INDEX(#REF!,MATCH(AP289,#REF!,0))*AQ289,0))</f>
        <v>0</v>
      </c>
      <c r="AS289" s="7"/>
      <c r="AT289" s="74"/>
      <c r="AU289" s="99">
        <f>IF(OR(AS289="",AT289=""),0,IFERROR(INDEX(#REF!,MATCH(AS289,#REF!,0))*AT289,0))</f>
        <v>0</v>
      </c>
      <c r="AV289" s="7"/>
      <c r="AW289" s="74"/>
      <c r="AX289" s="99">
        <f>IF(OR(AV289="",AW289=""),0,IFERROR(INDEX(#REF!,MATCH(AV289,#REF!,0))*AW289,0))</f>
        <v>0</v>
      </c>
      <c r="AY289" s="7"/>
      <c r="AZ289" s="77"/>
      <c r="BA289" s="99">
        <f>IF(OR(AY289="",AZ289=""),0,IFERROR(INDEX(#REF!,MATCH(AY289,#REF!,0))*AZ289,0))</f>
        <v>0</v>
      </c>
      <c r="BB289" s="100">
        <f t="shared" si="43"/>
        <v>0</v>
      </c>
      <c r="BC289" s="110" t="str">
        <f t="shared" si="44"/>
        <v/>
      </c>
      <c r="BD289" s="62"/>
    </row>
    <row r="290" spans="1:56" ht="19.5" customHeight="1" x14ac:dyDescent="0.45">
      <c r="A290" s="104" t="str">
        <f t="shared" si="45"/>
        <v/>
      </c>
      <c r="B290" s="5"/>
      <c r="C290" s="109"/>
      <c r="D290" s="107"/>
      <c r="E290" s="6"/>
      <c r="F290" s="85"/>
      <c r="G290" s="85"/>
      <c r="H290" s="104" t="str">
        <f t="shared" si="37"/>
        <v/>
      </c>
      <c r="I290" s="103" t="str">
        <f>IFERROR(INDEX(#REF!,MATCH(E290,#REF!,0)),"")</f>
        <v/>
      </c>
      <c r="J290" s="6"/>
      <c r="K290" s="103" t="str">
        <f t="shared" si="38"/>
        <v/>
      </c>
      <c r="L290" s="8"/>
      <c r="M290" s="102" t="str">
        <f t="shared" si="39"/>
        <v/>
      </c>
      <c r="N290" s="9"/>
      <c r="O290" s="103" t="str">
        <f t="shared" si="40"/>
        <v/>
      </c>
      <c r="P290" s="6"/>
      <c r="Q290" s="7"/>
      <c r="R290" s="10"/>
      <c r="S290" s="29" t="str">
        <f t="shared" ca="1" si="41"/>
        <v/>
      </c>
      <c r="T290" s="7"/>
      <c r="U290" s="74"/>
      <c r="V290" s="101">
        <f>IF(OR(T290="",U290=""),0,IFERROR(INDEX(#REF!,MATCH(T290,#REF!,0))*U290,0))</f>
        <v>0</v>
      </c>
      <c r="W290" s="7"/>
      <c r="X290" s="74"/>
      <c r="Y290" s="101">
        <f>IF(OR(W290="",X290=""),0,IFERROR(INDEX(#REF!,MATCH(W290,#REF!,0))*X290,0))</f>
        <v>0</v>
      </c>
      <c r="Z290" s="7"/>
      <c r="AA290" s="74"/>
      <c r="AB290" s="101">
        <f>IF(OR(Z290="",AA290=""),0,IFERROR(INDEX(#REF!,MATCH(Z290,#REF!,0))*AA290,0))</f>
        <v>0</v>
      </c>
      <c r="AC290" s="7"/>
      <c r="AD290" s="74"/>
      <c r="AE290" s="101">
        <f>IF(OR(AC290="",AD290=""),0,IFERROR(INDEX(#REF!,MATCH(AC290,#REF!,0))*AD290,0))</f>
        <v>0</v>
      </c>
      <c r="AF290" s="7"/>
      <c r="AG290" s="74"/>
      <c r="AH290" s="101">
        <f>IF(OR(AF290="",AG290=""),0,IFERROR(INDEX(#REF!,MATCH(AF290,#REF!,0))*AG290,0))</f>
        <v>0</v>
      </c>
      <c r="AI290" s="7"/>
      <c r="AJ290" s="74"/>
      <c r="AK290" s="101">
        <f>IF(OR(AI290="",AJ290=""),0,IFERROR(INDEX(#REF!,MATCH(AI290,#REF!,0))*AJ290,0))</f>
        <v>0</v>
      </c>
      <c r="AL290" s="101">
        <f t="shared" si="42"/>
        <v>0</v>
      </c>
      <c r="AM290" s="7"/>
      <c r="AN290" s="72"/>
      <c r="AO290" s="99">
        <f>IF(OR(AM290="",AN290=""),0,IFERROR(INDEX(#REF!,MATCH(AM290,#REF!,0))*AN290,0))</f>
        <v>0</v>
      </c>
      <c r="AP290" s="7"/>
      <c r="AQ290" s="74"/>
      <c r="AR290" s="99">
        <f>IF(OR(AP290="",AQ290=""),0,IFERROR(INDEX(#REF!,MATCH(AP290,#REF!,0))*AQ290,0))</f>
        <v>0</v>
      </c>
      <c r="AS290" s="7"/>
      <c r="AT290" s="74"/>
      <c r="AU290" s="99">
        <f>IF(OR(AS290="",AT290=""),0,IFERROR(INDEX(#REF!,MATCH(AS290,#REF!,0))*AT290,0))</f>
        <v>0</v>
      </c>
      <c r="AV290" s="7"/>
      <c r="AW290" s="74"/>
      <c r="AX290" s="99">
        <f>IF(OR(AV290="",AW290=""),0,IFERROR(INDEX(#REF!,MATCH(AV290,#REF!,0))*AW290,0))</f>
        <v>0</v>
      </c>
      <c r="AY290" s="7"/>
      <c r="AZ290" s="77"/>
      <c r="BA290" s="99">
        <f>IF(OR(AY290="",AZ290=""),0,IFERROR(INDEX(#REF!,MATCH(AY290,#REF!,0))*AZ290,0))</f>
        <v>0</v>
      </c>
      <c r="BB290" s="100">
        <f t="shared" si="43"/>
        <v>0</v>
      </c>
      <c r="BC290" s="110" t="str">
        <f t="shared" si="44"/>
        <v/>
      </c>
      <c r="BD290" s="62"/>
    </row>
    <row r="291" spans="1:56" ht="19.5" customHeight="1" x14ac:dyDescent="0.45">
      <c r="A291" s="104" t="str">
        <f t="shared" si="45"/>
        <v/>
      </c>
      <c r="B291" s="5"/>
      <c r="C291" s="109"/>
      <c r="D291" s="107"/>
      <c r="E291" s="6"/>
      <c r="F291" s="85"/>
      <c r="G291" s="85"/>
      <c r="H291" s="104" t="str">
        <f t="shared" si="37"/>
        <v/>
      </c>
      <c r="I291" s="103" t="str">
        <f>IFERROR(INDEX(#REF!,MATCH(E291,#REF!,0)),"")</f>
        <v/>
      </c>
      <c r="J291" s="6"/>
      <c r="K291" s="103" t="str">
        <f t="shared" si="38"/>
        <v/>
      </c>
      <c r="L291" s="8"/>
      <c r="M291" s="102" t="str">
        <f t="shared" si="39"/>
        <v/>
      </c>
      <c r="N291" s="9"/>
      <c r="O291" s="103" t="str">
        <f t="shared" si="40"/>
        <v/>
      </c>
      <c r="P291" s="6"/>
      <c r="Q291" s="7"/>
      <c r="R291" s="10"/>
      <c r="S291" s="29" t="str">
        <f t="shared" ca="1" si="41"/>
        <v/>
      </c>
      <c r="T291" s="7"/>
      <c r="U291" s="74"/>
      <c r="V291" s="101">
        <f>IF(OR(T291="",U291=""),0,IFERROR(INDEX(#REF!,MATCH(T291,#REF!,0))*U291,0))</f>
        <v>0</v>
      </c>
      <c r="W291" s="7"/>
      <c r="X291" s="74"/>
      <c r="Y291" s="101">
        <f>IF(OR(W291="",X291=""),0,IFERROR(INDEX(#REF!,MATCH(W291,#REF!,0))*X291,0))</f>
        <v>0</v>
      </c>
      <c r="Z291" s="7"/>
      <c r="AA291" s="74"/>
      <c r="AB291" s="101">
        <f>IF(OR(Z291="",AA291=""),0,IFERROR(INDEX(#REF!,MATCH(Z291,#REF!,0))*AA291,0))</f>
        <v>0</v>
      </c>
      <c r="AC291" s="7"/>
      <c r="AD291" s="74"/>
      <c r="AE291" s="101">
        <f>IF(OR(AC291="",AD291=""),0,IFERROR(INDEX(#REF!,MATCH(AC291,#REF!,0))*AD291,0))</f>
        <v>0</v>
      </c>
      <c r="AF291" s="7"/>
      <c r="AG291" s="74"/>
      <c r="AH291" s="101">
        <f>IF(OR(AF291="",AG291=""),0,IFERROR(INDEX(#REF!,MATCH(AF291,#REF!,0))*AG291,0))</f>
        <v>0</v>
      </c>
      <c r="AI291" s="7"/>
      <c r="AJ291" s="74"/>
      <c r="AK291" s="101">
        <f>IF(OR(AI291="",AJ291=""),0,IFERROR(INDEX(#REF!,MATCH(AI291,#REF!,0))*AJ291,0))</f>
        <v>0</v>
      </c>
      <c r="AL291" s="101">
        <f t="shared" si="42"/>
        <v>0</v>
      </c>
      <c r="AM291" s="7"/>
      <c r="AN291" s="72"/>
      <c r="AO291" s="99">
        <f>IF(OR(AM291="",AN291=""),0,IFERROR(INDEX(#REF!,MATCH(AM291,#REF!,0))*AN291,0))</f>
        <v>0</v>
      </c>
      <c r="AP291" s="7"/>
      <c r="AQ291" s="74"/>
      <c r="AR291" s="99">
        <f>IF(OR(AP291="",AQ291=""),0,IFERROR(INDEX(#REF!,MATCH(AP291,#REF!,0))*AQ291,0))</f>
        <v>0</v>
      </c>
      <c r="AS291" s="7"/>
      <c r="AT291" s="74"/>
      <c r="AU291" s="99">
        <f>IF(OR(AS291="",AT291=""),0,IFERROR(INDEX(#REF!,MATCH(AS291,#REF!,0))*AT291,0))</f>
        <v>0</v>
      </c>
      <c r="AV291" s="7"/>
      <c r="AW291" s="74"/>
      <c r="AX291" s="99">
        <f>IF(OR(AV291="",AW291=""),0,IFERROR(INDEX(#REF!,MATCH(AV291,#REF!,0))*AW291,0))</f>
        <v>0</v>
      </c>
      <c r="AY291" s="7"/>
      <c r="AZ291" s="77"/>
      <c r="BA291" s="99">
        <f>IF(OR(AY291="",AZ291=""),0,IFERROR(INDEX(#REF!,MATCH(AY291,#REF!,0))*AZ291,0))</f>
        <v>0</v>
      </c>
      <c r="BB291" s="100">
        <f t="shared" si="43"/>
        <v>0</v>
      </c>
      <c r="BC291" s="110" t="str">
        <f t="shared" si="44"/>
        <v/>
      </c>
      <c r="BD291" s="62"/>
    </row>
    <row r="292" spans="1:56" ht="19.5" customHeight="1" x14ac:dyDescent="0.45">
      <c r="A292" s="104" t="str">
        <f t="shared" si="45"/>
        <v/>
      </c>
      <c r="B292" s="5"/>
      <c r="C292" s="109"/>
      <c r="D292" s="107"/>
      <c r="E292" s="6"/>
      <c r="F292" s="85"/>
      <c r="G292" s="85"/>
      <c r="H292" s="104" t="str">
        <f t="shared" si="37"/>
        <v/>
      </c>
      <c r="I292" s="103" t="str">
        <f>IFERROR(INDEX(#REF!,MATCH(E292,#REF!,0)),"")</f>
        <v/>
      </c>
      <c r="J292" s="6"/>
      <c r="K292" s="103" t="str">
        <f t="shared" si="38"/>
        <v/>
      </c>
      <c r="L292" s="8"/>
      <c r="M292" s="102" t="str">
        <f t="shared" si="39"/>
        <v/>
      </c>
      <c r="N292" s="9"/>
      <c r="O292" s="103" t="str">
        <f t="shared" si="40"/>
        <v/>
      </c>
      <c r="P292" s="6"/>
      <c r="Q292" s="7"/>
      <c r="R292" s="10"/>
      <c r="S292" s="29" t="str">
        <f t="shared" ca="1" si="41"/>
        <v/>
      </c>
      <c r="T292" s="7"/>
      <c r="U292" s="74"/>
      <c r="V292" s="101">
        <f>IF(OR(T292="",U292=""),0,IFERROR(INDEX(#REF!,MATCH(T292,#REF!,0))*U292,0))</f>
        <v>0</v>
      </c>
      <c r="W292" s="7"/>
      <c r="X292" s="74"/>
      <c r="Y292" s="101">
        <f>IF(OR(W292="",X292=""),0,IFERROR(INDEX(#REF!,MATCH(W292,#REF!,0))*X292,0))</f>
        <v>0</v>
      </c>
      <c r="Z292" s="7"/>
      <c r="AA292" s="74"/>
      <c r="AB292" s="101">
        <f>IF(OR(Z292="",AA292=""),0,IFERROR(INDEX(#REF!,MATCH(Z292,#REF!,0))*AA292,0))</f>
        <v>0</v>
      </c>
      <c r="AC292" s="7"/>
      <c r="AD292" s="74"/>
      <c r="AE292" s="101">
        <f>IF(OR(AC292="",AD292=""),0,IFERROR(INDEX(#REF!,MATCH(AC292,#REF!,0))*AD292,0))</f>
        <v>0</v>
      </c>
      <c r="AF292" s="7"/>
      <c r="AG292" s="74"/>
      <c r="AH292" s="101">
        <f>IF(OR(AF292="",AG292=""),0,IFERROR(INDEX(#REF!,MATCH(AF292,#REF!,0))*AG292,0))</f>
        <v>0</v>
      </c>
      <c r="AI292" s="7"/>
      <c r="AJ292" s="74"/>
      <c r="AK292" s="101">
        <f>IF(OR(AI292="",AJ292=""),0,IFERROR(INDEX(#REF!,MATCH(AI292,#REF!,0))*AJ292,0))</f>
        <v>0</v>
      </c>
      <c r="AL292" s="101">
        <f t="shared" si="42"/>
        <v>0</v>
      </c>
      <c r="AM292" s="7"/>
      <c r="AN292" s="72"/>
      <c r="AO292" s="99">
        <f>IF(OR(AM292="",AN292=""),0,IFERROR(INDEX(#REF!,MATCH(AM292,#REF!,0))*AN292,0))</f>
        <v>0</v>
      </c>
      <c r="AP292" s="7"/>
      <c r="AQ292" s="74"/>
      <c r="AR292" s="99">
        <f>IF(OR(AP292="",AQ292=""),0,IFERROR(INDEX(#REF!,MATCH(AP292,#REF!,0))*AQ292,0))</f>
        <v>0</v>
      </c>
      <c r="AS292" s="7"/>
      <c r="AT292" s="74"/>
      <c r="AU292" s="99">
        <f>IF(OR(AS292="",AT292=""),0,IFERROR(INDEX(#REF!,MATCH(AS292,#REF!,0))*AT292,0))</f>
        <v>0</v>
      </c>
      <c r="AV292" s="7"/>
      <c r="AW292" s="74"/>
      <c r="AX292" s="99">
        <f>IF(OR(AV292="",AW292=""),0,IFERROR(INDEX(#REF!,MATCH(AV292,#REF!,0))*AW292,0))</f>
        <v>0</v>
      </c>
      <c r="AY292" s="7"/>
      <c r="AZ292" s="77"/>
      <c r="BA292" s="99">
        <f>IF(OR(AY292="",AZ292=""),0,IFERROR(INDEX(#REF!,MATCH(AY292,#REF!,0))*AZ292,0))</f>
        <v>0</v>
      </c>
      <c r="BB292" s="100">
        <f t="shared" si="43"/>
        <v>0</v>
      </c>
      <c r="BC292" s="110" t="str">
        <f t="shared" si="44"/>
        <v/>
      </c>
      <c r="BD292" s="62"/>
    </row>
    <row r="293" spans="1:56" ht="19.5" customHeight="1" x14ac:dyDescent="0.45">
      <c r="A293" s="104" t="str">
        <f t="shared" si="45"/>
        <v/>
      </c>
      <c r="B293" s="5"/>
      <c r="C293" s="109"/>
      <c r="D293" s="107"/>
      <c r="E293" s="6"/>
      <c r="F293" s="85"/>
      <c r="G293" s="85"/>
      <c r="H293" s="104" t="str">
        <f t="shared" si="37"/>
        <v/>
      </c>
      <c r="I293" s="103" t="str">
        <f>IFERROR(INDEX(#REF!,MATCH(E293,#REF!,0)),"")</f>
        <v/>
      </c>
      <c r="J293" s="6"/>
      <c r="K293" s="103" t="str">
        <f t="shared" si="38"/>
        <v/>
      </c>
      <c r="L293" s="8"/>
      <c r="M293" s="102" t="str">
        <f t="shared" si="39"/>
        <v/>
      </c>
      <c r="N293" s="9"/>
      <c r="O293" s="103" t="str">
        <f t="shared" si="40"/>
        <v/>
      </c>
      <c r="P293" s="6"/>
      <c r="Q293" s="7"/>
      <c r="R293" s="10"/>
      <c r="S293" s="29" t="str">
        <f t="shared" ca="1" si="41"/>
        <v/>
      </c>
      <c r="T293" s="7"/>
      <c r="U293" s="74"/>
      <c r="V293" s="101">
        <f>IF(OR(T293="",U293=""),0,IFERROR(INDEX(#REF!,MATCH(T293,#REF!,0))*U293,0))</f>
        <v>0</v>
      </c>
      <c r="W293" s="7"/>
      <c r="X293" s="74"/>
      <c r="Y293" s="101">
        <f>IF(OR(W293="",X293=""),0,IFERROR(INDEX(#REF!,MATCH(W293,#REF!,0))*X293,0))</f>
        <v>0</v>
      </c>
      <c r="Z293" s="7"/>
      <c r="AA293" s="74"/>
      <c r="AB293" s="101">
        <f>IF(OR(Z293="",AA293=""),0,IFERROR(INDEX(#REF!,MATCH(Z293,#REF!,0))*AA293,0))</f>
        <v>0</v>
      </c>
      <c r="AC293" s="7"/>
      <c r="AD293" s="74"/>
      <c r="AE293" s="101">
        <f>IF(OR(AC293="",AD293=""),0,IFERROR(INDEX(#REF!,MATCH(AC293,#REF!,0))*AD293,0))</f>
        <v>0</v>
      </c>
      <c r="AF293" s="7"/>
      <c r="AG293" s="74"/>
      <c r="AH293" s="101">
        <f>IF(OR(AF293="",AG293=""),0,IFERROR(INDEX(#REF!,MATCH(AF293,#REF!,0))*AG293,0))</f>
        <v>0</v>
      </c>
      <c r="AI293" s="7"/>
      <c r="AJ293" s="74"/>
      <c r="AK293" s="101">
        <f>IF(OR(AI293="",AJ293=""),0,IFERROR(INDEX(#REF!,MATCH(AI293,#REF!,0))*AJ293,0))</f>
        <v>0</v>
      </c>
      <c r="AL293" s="101">
        <f t="shared" si="42"/>
        <v>0</v>
      </c>
      <c r="AM293" s="7"/>
      <c r="AN293" s="72"/>
      <c r="AO293" s="99">
        <f>IF(OR(AM293="",AN293=""),0,IFERROR(INDEX(#REF!,MATCH(AM293,#REF!,0))*AN293,0))</f>
        <v>0</v>
      </c>
      <c r="AP293" s="7"/>
      <c r="AQ293" s="74"/>
      <c r="AR293" s="99">
        <f>IF(OR(AP293="",AQ293=""),0,IFERROR(INDEX(#REF!,MATCH(AP293,#REF!,0))*AQ293,0))</f>
        <v>0</v>
      </c>
      <c r="AS293" s="7"/>
      <c r="AT293" s="74"/>
      <c r="AU293" s="99">
        <f>IF(OR(AS293="",AT293=""),0,IFERROR(INDEX(#REF!,MATCH(AS293,#REF!,0))*AT293,0))</f>
        <v>0</v>
      </c>
      <c r="AV293" s="7"/>
      <c r="AW293" s="74"/>
      <c r="AX293" s="99">
        <f>IF(OR(AV293="",AW293=""),0,IFERROR(INDEX(#REF!,MATCH(AV293,#REF!,0))*AW293,0))</f>
        <v>0</v>
      </c>
      <c r="AY293" s="7"/>
      <c r="AZ293" s="77"/>
      <c r="BA293" s="99">
        <f>IF(OR(AY293="",AZ293=""),0,IFERROR(INDEX(#REF!,MATCH(AY293,#REF!,0))*AZ293,0))</f>
        <v>0</v>
      </c>
      <c r="BB293" s="100">
        <f t="shared" si="43"/>
        <v>0</v>
      </c>
      <c r="BC293" s="110" t="str">
        <f t="shared" si="44"/>
        <v/>
      </c>
      <c r="BD293" s="62"/>
    </row>
    <row r="294" spans="1:56" ht="19.5" customHeight="1" x14ac:dyDescent="0.45">
      <c r="A294" s="104" t="str">
        <f t="shared" si="45"/>
        <v/>
      </c>
      <c r="B294" s="5"/>
      <c r="C294" s="109"/>
      <c r="D294" s="107"/>
      <c r="E294" s="6"/>
      <c r="F294" s="85"/>
      <c r="G294" s="85"/>
      <c r="H294" s="104" t="str">
        <f t="shared" si="37"/>
        <v/>
      </c>
      <c r="I294" s="103" t="str">
        <f>IFERROR(INDEX(#REF!,MATCH(E294,#REF!,0)),"")</f>
        <v/>
      </c>
      <c r="J294" s="6"/>
      <c r="K294" s="103" t="str">
        <f t="shared" si="38"/>
        <v/>
      </c>
      <c r="L294" s="8"/>
      <c r="M294" s="102" t="str">
        <f t="shared" si="39"/>
        <v/>
      </c>
      <c r="N294" s="9"/>
      <c r="O294" s="103" t="str">
        <f t="shared" si="40"/>
        <v/>
      </c>
      <c r="P294" s="6"/>
      <c r="Q294" s="7"/>
      <c r="R294" s="10"/>
      <c r="S294" s="29" t="str">
        <f t="shared" ca="1" si="41"/>
        <v/>
      </c>
      <c r="T294" s="7"/>
      <c r="U294" s="74"/>
      <c r="V294" s="101">
        <f>IF(OR(T294="",U294=""),0,IFERROR(INDEX(#REF!,MATCH(T294,#REF!,0))*U294,0))</f>
        <v>0</v>
      </c>
      <c r="W294" s="7"/>
      <c r="X294" s="74"/>
      <c r="Y294" s="101">
        <f>IF(OR(W294="",X294=""),0,IFERROR(INDEX(#REF!,MATCH(W294,#REF!,0))*X294,0))</f>
        <v>0</v>
      </c>
      <c r="Z294" s="7"/>
      <c r="AA294" s="74"/>
      <c r="AB294" s="101">
        <f>IF(OR(Z294="",AA294=""),0,IFERROR(INDEX(#REF!,MATCH(Z294,#REF!,0))*AA294,0))</f>
        <v>0</v>
      </c>
      <c r="AC294" s="7"/>
      <c r="AD294" s="74"/>
      <c r="AE294" s="101">
        <f>IF(OR(AC294="",AD294=""),0,IFERROR(INDEX(#REF!,MATCH(AC294,#REF!,0))*AD294,0))</f>
        <v>0</v>
      </c>
      <c r="AF294" s="7"/>
      <c r="AG294" s="74"/>
      <c r="AH294" s="101">
        <f>IF(OR(AF294="",AG294=""),0,IFERROR(INDEX(#REF!,MATCH(AF294,#REF!,0))*AG294,0))</f>
        <v>0</v>
      </c>
      <c r="AI294" s="7"/>
      <c r="AJ294" s="74"/>
      <c r="AK294" s="101">
        <f>IF(OR(AI294="",AJ294=""),0,IFERROR(INDEX(#REF!,MATCH(AI294,#REF!,0))*AJ294,0))</f>
        <v>0</v>
      </c>
      <c r="AL294" s="101">
        <f t="shared" si="42"/>
        <v>0</v>
      </c>
      <c r="AM294" s="7"/>
      <c r="AN294" s="72"/>
      <c r="AO294" s="99">
        <f>IF(OR(AM294="",AN294=""),0,IFERROR(INDEX(#REF!,MATCH(AM294,#REF!,0))*AN294,0))</f>
        <v>0</v>
      </c>
      <c r="AP294" s="7"/>
      <c r="AQ294" s="74"/>
      <c r="AR294" s="99">
        <f>IF(OR(AP294="",AQ294=""),0,IFERROR(INDEX(#REF!,MATCH(AP294,#REF!,0))*AQ294,0))</f>
        <v>0</v>
      </c>
      <c r="AS294" s="7"/>
      <c r="AT294" s="74"/>
      <c r="AU294" s="99">
        <f>IF(OR(AS294="",AT294=""),0,IFERROR(INDEX(#REF!,MATCH(AS294,#REF!,0))*AT294,0))</f>
        <v>0</v>
      </c>
      <c r="AV294" s="7"/>
      <c r="AW294" s="74"/>
      <c r="AX294" s="99">
        <f>IF(OR(AV294="",AW294=""),0,IFERROR(INDEX(#REF!,MATCH(AV294,#REF!,0))*AW294,0))</f>
        <v>0</v>
      </c>
      <c r="AY294" s="7"/>
      <c r="AZ294" s="77"/>
      <c r="BA294" s="99">
        <f>IF(OR(AY294="",AZ294=""),0,IFERROR(INDEX(#REF!,MATCH(AY294,#REF!,0))*AZ294,0))</f>
        <v>0</v>
      </c>
      <c r="BB294" s="100">
        <f t="shared" si="43"/>
        <v>0</v>
      </c>
      <c r="BC294" s="110" t="str">
        <f t="shared" si="44"/>
        <v/>
      </c>
      <c r="BD294" s="62"/>
    </row>
    <row r="295" spans="1:56" ht="19.5" customHeight="1" x14ac:dyDescent="0.45">
      <c r="A295" s="104" t="str">
        <f t="shared" si="45"/>
        <v/>
      </c>
      <c r="B295" s="5"/>
      <c r="C295" s="109"/>
      <c r="D295" s="107"/>
      <c r="E295" s="6"/>
      <c r="F295" s="85"/>
      <c r="G295" s="85"/>
      <c r="H295" s="104" t="str">
        <f t="shared" si="37"/>
        <v/>
      </c>
      <c r="I295" s="103" t="str">
        <f>IFERROR(INDEX(#REF!,MATCH(E295,#REF!,0)),"")</f>
        <v/>
      </c>
      <c r="J295" s="6"/>
      <c r="K295" s="103" t="str">
        <f t="shared" si="38"/>
        <v/>
      </c>
      <c r="L295" s="8"/>
      <c r="M295" s="102" t="str">
        <f t="shared" si="39"/>
        <v/>
      </c>
      <c r="N295" s="9"/>
      <c r="O295" s="103" t="str">
        <f t="shared" si="40"/>
        <v/>
      </c>
      <c r="P295" s="6"/>
      <c r="Q295" s="7"/>
      <c r="R295" s="10"/>
      <c r="S295" s="29" t="str">
        <f t="shared" ca="1" si="41"/>
        <v/>
      </c>
      <c r="T295" s="7"/>
      <c r="U295" s="74"/>
      <c r="V295" s="101">
        <f>IF(OR(T295="",U295=""),0,IFERROR(INDEX(#REF!,MATCH(T295,#REF!,0))*U295,0))</f>
        <v>0</v>
      </c>
      <c r="W295" s="7"/>
      <c r="X295" s="74"/>
      <c r="Y295" s="101">
        <f>IF(OR(W295="",X295=""),0,IFERROR(INDEX(#REF!,MATCH(W295,#REF!,0))*X295,0))</f>
        <v>0</v>
      </c>
      <c r="Z295" s="7"/>
      <c r="AA295" s="74"/>
      <c r="AB295" s="101">
        <f>IF(OR(Z295="",AA295=""),0,IFERROR(INDEX(#REF!,MATCH(Z295,#REF!,0))*AA295,0))</f>
        <v>0</v>
      </c>
      <c r="AC295" s="7"/>
      <c r="AD295" s="74"/>
      <c r="AE295" s="101">
        <f>IF(OR(AC295="",AD295=""),0,IFERROR(INDEX(#REF!,MATCH(AC295,#REF!,0))*AD295,0))</f>
        <v>0</v>
      </c>
      <c r="AF295" s="7"/>
      <c r="AG295" s="74"/>
      <c r="AH295" s="101">
        <f>IF(OR(AF295="",AG295=""),0,IFERROR(INDEX(#REF!,MATCH(AF295,#REF!,0))*AG295,0))</f>
        <v>0</v>
      </c>
      <c r="AI295" s="7"/>
      <c r="AJ295" s="74"/>
      <c r="AK295" s="101">
        <f>IF(OR(AI295="",AJ295=""),0,IFERROR(INDEX(#REF!,MATCH(AI295,#REF!,0))*AJ295,0))</f>
        <v>0</v>
      </c>
      <c r="AL295" s="101">
        <f t="shared" si="42"/>
        <v>0</v>
      </c>
      <c r="AM295" s="7"/>
      <c r="AN295" s="72"/>
      <c r="AO295" s="99">
        <f>IF(OR(AM295="",AN295=""),0,IFERROR(INDEX(#REF!,MATCH(AM295,#REF!,0))*AN295,0))</f>
        <v>0</v>
      </c>
      <c r="AP295" s="7"/>
      <c r="AQ295" s="74"/>
      <c r="AR295" s="99">
        <f>IF(OR(AP295="",AQ295=""),0,IFERROR(INDEX(#REF!,MATCH(AP295,#REF!,0))*AQ295,0))</f>
        <v>0</v>
      </c>
      <c r="AS295" s="7"/>
      <c r="AT295" s="74"/>
      <c r="AU295" s="99">
        <f>IF(OR(AS295="",AT295=""),0,IFERROR(INDEX(#REF!,MATCH(AS295,#REF!,0))*AT295,0))</f>
        <v>0</v>
      </c>
      <c r="AV295" s="7"/>
      <c r="AW295" s="74"/>
      <c r="AX295" s="99">
        <f>IF(OR(AV295="",AW295=""),0,IFERROR(INDEX(#REF!,MATCH(AV295,#REF!,0))*AW295,0))</f>
        <v>0</v>
      </c>
      <c r="AY295" s="7"/>
      <c r="AZ295" s="77"/>
      <c r="BA295" s="99">
        <f>IF(OR(AY295="",AZ295=""),0,IFERROR(INDEX(#REF!,MATCH(AY295,#REF!,0))*AZ295,0))</f>
        <v>0</v>
      </c>
      <c r="BB295" s="100">
        <f t="shared" si="43"/>
        <v>0</v>
      </c>
      <c r="BC295" s="110" t="str">
        <f t="shared" si="44"/>
        <v/>
      </c>
      <c r="BD295" s="62"/>
    </row>
    <row r="296" spans="1:56" ht="19.5" customHeight="1" x14ac:dyDescent="0.45">
      <c r="A296" s="104" t="str">
        <f t="shared" si="45"/>
        <v/>
      </c>
      <c r="B296" s="5"/>
      <c r="C296" s="109"/>
      <c r="D296" s="107"/>
      <c r="E296" s="6"/>
      <c r="F296" s="85"/>
      <c r="G296" s="85"/>
      <c r="H296" s="104" t="str">
        <f t="shared" si="37"/>
        <v/>
      </c>
      <c r="I296" s="103" t="str">
        <f>IFERROR(INDEX(#REF!,MATCH(E296,#REF!,0)),"")</f>
        <v/>
      </c>
      <c r="J296" s="6"/>
      <c r="K296" s="103" t="str">
        <f t="shared" si="38"/>
        <v/>
      </c>
      <c r="L296" s="8"/>
      <c r="M296" s="102" t="str">
        <f t="shared" si="39"/>
        <v/>
      </c>
      <c r="N296" s="9"/>
      <c r="O296" s="103" t="str">
        <f t="shared" si="40"/>
        <v/>
      </c>
      <c r="P296" s="6"/>
      <c r="Q296" s="7"/>
      <c r="R296" s="10"/>
      <c r="S296" s="29" t="str">
        <f t="shared" ca="1" si="41"/>
        <v/>
      </c>
      <c r="T296" s="7"/>
      <c r="U296" s="74"/>
      <c r="V296" s="101">
        <f>IF(OR(T296="",U296=""),0,IFERROR(INDEX(#REF!,MATCH(T296,#REF!,0))*U296,0))</f>
        <v>0</v>
      </c>
      <c r="W296" s="7"/>
      <c r="X296" s="74"/>
      <c r="Y296" s="101">
        <f>IF(OR(W296="",X296=""),0,IFERROR(INDEX(#REF!,MATCH(W296,#REF!,0))*X296,0))</f>
        <v>0</v>
      </c>
      <c r="Z296" s="7"/>
      <c r="AA296" s="74"/>
      <c r="AB296" s="101">
        <f>IF(OR(Z296="",AA296=""),0,IFERROR(INDEX(#REF!,MATCH(Z296,#REF!,0))*AA296,0))</f>
        <v>0</v>
      </c>
      <c r="AC296" s="7"/>
      <c r="AD296" s="74"/>
      <c r="AE296" s="101">
        <f>IF(OR(AC296="",AD296=""),0,IFERROR(INDEX(#REF!,MATCH(AC296,#REF!,0))*AD296,0))</f>
        <v>0</v>
      </c>
      <c r="AF296" s="7"/>
      <c r="AG296" s="74"/>
      <c r="AH296" s="101">
        <f>IF(OR(AF296="",AG296=""),0,IFERROR(INDEX(#REF!,MATCH(AF296,#REF!,0))*AG296,0))</f>
        <v>0</v>
      </c>
      <c r="AI296" s="7"/>
      <c r="AJ296" s="74"/>
      <c r="AK296" s="101">
        <f>IF(OR(AI296="",AJ296=""),0,IFERROR(INDEX(#REF!,MATCH(AI296,#REF!,0))*AJ296,0))</f>
        <v>0</v>
      </c>
      <c r="AL296" s="101">
        <f t="shared" si="42"/>
        <v>0</v>
      </c>
      <c r="AM296" s="7"/>
      <c r="AN296" s="72"/>
      <c r="AO296" s="99">
        <f>IF(OR(AM296="",AN296=""),0,IFERROR(INDEX(#REF!,MATCH(AM296,#REF!,0))*AN296,0))</f>
        <v>0</v>
      </c>
      <c r="AP296" s="7"/>
      <c r="AQ296" s="74"/>
      <c r="AR296" s="99">
        <f>IF(OR(AP296="",AQ296=""),0,IFERROR(INDEX(#REF!,MATCH(AP296,#REF!,0))*AQ296,0))</f>
        <v>0</v>
      </c>
      <c r="AS296" s="7"/>
      <c r="AT296" s="74"/>
      <c r="AU296" s="99">
        <f>IF(OR(AS296="",AT296=""),0,IFERROR(INDEX(#REF!,MATCH(AS296,#REF!,0))*AT296,0))</f>
        <v>0</v>
      </c>
      <c r="AV296" s="7"/>
      <c r="AW296" s="74"/>
      <c r="AX296" s="99">
        <f>IF(OR(AV296="",AW296=""),0,IFERROR(INDEX(#REF!,MATCH(AV296,#REF!,0))*AW296,0))</f>
        <v>0</v>
      </c>
      <c r="AY296" s="7"/>
      <c r="AZ296" s="77"/>
      <c r="BA296" s="99">
        <f>IF(OR(AY296="",AZ296=""),0,IFERROR(INDEX(#REF!,MATCH(AY296,#REF!,0))*AZ296,0))</f>
        <v>0</v>
      </c>
      <c r="BB296" s="100">
        <f t="shared" si="43"/>
        <v>0</v>
      </c>
      <c r="BC296" s="110" t="str">
        <f t="shared" si="44"/>
        <v/>
      </c>
      <c r="BD296" s="62"/>
    </row>
    <row r="297" spans="1:56" ht="19.5" customHeight="1" x14ac:dyDescent="0.45">
      <c r="A297" s="104" t="str">
        <f t="shared" si="45"/>
        <v/>
      </c>
      <c r="B297" s="5"/>
      <c r="C297" s="109"/>
      <c r="D297" s="107"/>
      <c r="E297" s="6"/>
      <c r="F297" s="85"/>
      <c r="G297" s="85"/>
      <c r="H297" s="104" t="str">
        <f t="shared" si="37"/>
        <v/>
      </c>
      <c r="I297" s="103" t="str">
        <f>IFERROR(INDEX(#REF!,MATCH(E297,#REF!,0)),"")</f>
        <v/>
      </c>
      <c r="J297" s="6"/>
      <c r="K297" s="103" t="str">
        <f t="shared" si="38"/>
        <v/>
      </c>
      <c r="L297" s="8"/>
      <c r="M297" s="102" t="str">
        <f t="shared" si="39"/>
        <v/>
      </c>
      <c r="N297" s="9"/>
      <c r="O297" s="103" t="str">
        <f t="shared" si="40"/>
        <v/>
      </c>
      <c r="P297" s="6"/>
      <c r="Q297" s="7"/>
      <c r="R297" s="10"/>
      <c r="S297" s="29" t="str">
        <f t="shared" ca="1" si="41"/>
        <v/>
      </c>
      <c r="T297" s="7"/>
      <c r="U297" s="74"/>
      <c r="V297" s="101">
        <f>IF(OR(T297="",U297=""),0,IFERROR(INDEX(#REF!,MATCH(T297,#REF!,0))*U297,0))</f>
        <v>0</v>
      </c>
      <c r="W297" s="7"/>
      <c r="X297" s="74"/>
      <c r="Y297" s="101">
        <f>IF(OR(W297="",X297=""),0,IFERROR(INDEX(#REF!,MATCH(W297,#REF!,0))*X297,0))</f>
        <v>0</v>
      </c>
      <c r="Z297" s="7"/>
      <c r="AA297" s="74"/>
      <c r="AB297" s="101">
        <f>IF(OR(Z297="",AA297=""),0,IFERROR(INDEX(#REF!,MATCH(Z297,#REF!,0))*AA297,0))</f>
        <v>0</v>
      </c>
      <c r="AC297" s="7"/>
      <c r="AD297" s="74"/>
      <c r="AE297" s="101">
        <f>IF(OR(AC297="",AD297=""),0,IFERROR(INDEX(#REF!,MATCH(AC297,#REF!,0))*AD297,0))</f>
        <v>0</v>
      </c>
      <c r="AF297" s="7"/>
      <c r="AG297" s="74"/>
      <c r="AH297" s="101">
        <f>IF(OR(AF297="",AG297=""),0,IFERROR(INDEX(#REF!,MATCH(AF297,#REF!,0))*AG297,0))</f>
        <v>0</v>
      </c>
      <c r="AI297" s="7"/>
      <c r="AJ297" s="74"/>
      <c r="AK297" s="101">
        <f>IF(OR(AI297="",AJ297=""),0,IFERROR(INDEX(#REF!,MATCH(AI297,#REF!,0))*AJ297,0))</f>
        <v>0</v>
      </c>
      <c r="AL297" s="101">
        <f t="shared" si="42"/>
        <v>0</v>
      </c>
      <c r="AM297" s="7"/>
      <c r="AN297" s="72"/>
      <c r="AO297" s="99">
        <f>IF(OR(AM297="",AN297=""),0,IFERROR(INDEX(#REF!,MATCH(AM297,#REF!,0))*AN297,0))</f>
        <v>0</v>
      </c>
      <c r="AP297" s="7"/>
      <c r="AQ297" s="74"/>
      <c r="AR297" s="99">
        <f>IF(OR(AP297="",AQ297=""),0,IFERROR(INDEX(#REF!,MATCH(AP297,#REF!,0))*AQ297,0))</f>
        <v>0</v>
      </c>
      <c r="AS297" s="7"/>
      <c r="AT297" s="74"/>
      <c r="AU297" s="99">
        <f>IF(OR(AS297="",AT297=""),0,IFERROR(INDEX(#REF!,MATCH(AS297,#REF!,0))*AT297,0))</f>
        <v>0</v>
      </c>
      <c r="AV297" s="7"/>
      <c r="AW297" s="74"/>
      <c r="AX297" s="99">
        <f>IF(OR(AV297="",AW297=""),0,IFERROR(INDEX(#REF!,MATCH(AV297,#REF!,0))*AW297,0))</f>
        <v>0</v>
      </c>
      <c r="AY297" s="7"/>
      <c r="AZ297" s="77"/>
      <c r="BA297" s="99">
        <f>IF(OR(AY297="",AZ297=""),0,IFERROR(INDEX(#REF!,MATCH(AY297,#REF!,0))*AZ297,0))</f>
        <v>0</v>
      </c>
      <c r="BB297" s="100">
        <f t="shared" si="43"/>
        <v>0</v>
      </c>
      <c r="BC297" s="110" t="str">
        <f t="shared" si="44"/>
        <v/>
      </c>
      <c r="BD297" s="62"/>
    </row>
    <row r="298" spans="1:56" ht="19.5" customHeight="1" x14ac:dyDescent="0.45">
      <c r="A298" s="104" t="str">
        <f t="shared" si="45"/>
        <v/>
      </c>
      <c r="B298" s="5"/>
      <c r="C298" s="109"/>
      <c r="D298" s="107"/>
      <c r="E298" s="6"/>
      <c r="F298" s="85"/>
      <c r="G298" s="85"/>
      <c r="H298" s="104" t="str">
        <f t="shared" si="37"/>
        <v/>
      </c>
      <c r="I298" s="103" t="str">
        <f>IFERROR(INDEX(#REF!,MATCH(E298,#REF!,0)),"")</f>
        <v/>
      </c>
      <c r="J298" s="6"/>
      <c r="K298" s="103" t="str">
        <f t="shared" si="38"/>
        <v/>
      </c>
      <c r="L298" s="8"/>
      <c r="M298" s="102" t="str">
        <f t="shared" si="39"/>
        <v/>
      </c>
      <c r="N298" s="9"/>
      <c r="O298" s="103" t="str">
        <f t="shared" si="40"/>
        <v/>
      </c>
      <c r="P298" s="6"/>
      <c r="Q298" s="7"/>
      <c r="R298" s="10"/>
      <c r="S298" s="29" t="str">
        <f t="shared" ca="1" si="41"/>
        <v/>
      </c>
      <c r="T298" s="7"/>
      <c r="U298" s="74"/>
      <c r="V298" s="101">
        <f>IF(OR(T298="",U298=""),0,IFERROR(INDEX(#REF!,MATCH(T298,#REF!,0))*U298,0))</f>
        <v>0</v>
      </c>
      <c r="W298" s="7"/>
      <c r="X298" s="74"/>
      <c r="Y298" s="101">
        <f>IF(OR(W298="",X298=""),0,IFERROR(INDEX(#REF!,MATCH(W298,#REF!,0))*X298,0))</f>
        <v>0</v>
      </c>
      <c r="Z298" s="7"/>
      <c r="AA298" s="74"/>
      <c r="AB298" s="101">
        <f>IF(OR(Z298="",AA298=""),0,IFERROR(INDEX(#REF!,MATCH(Z298,#REF!,0))*AA298,0))</f>
        <v>0</v>
      </c>
      <c r="AC298" s="7"/>
      <c r="AD298" s="74"/>
      <c r="AE298" s="101">
        <f>IF(OR(AC298="",AD298=""),0,IFERROR(INDEX(#REF!,MATCH(AC298,#REF!,0))*AD298,0))</f>
        <v>0</v>
      </c>
      <c r="AF298" s="7"/>
      <c r="AG298" s="74"/>
      <c r="AH298" s="101">
        <f>IF(OR(AF298="",AG298=""),0,IFERROR(INDEX(#REF!,MATCH(AF298,#REF!,0))*AG298,0))</f>
        <v>0</v>
      </c>
      <c r="AI298" s="7"/>
      <c r="AJ298" s="74"/>
      <c r="AK298" s="101">
        <f>IF(OR(AI298="",AJ298=""),0,IFERROR(INDEX(#REF!,MATCH(AI298,#REF!,0))*AJ298,0))</f>
        <v>0</v>
      </c>
      <c r="AL298" s="101">
        <f t="shared" si="42"/>
        <v>0</v>
      </c>
      <c r="AM298" s="7"/>
      <c r="AN298" s="72"/>
      <c r="AO298" s="99">
        <f>IF(OR(AM298="",AN298=""),0,IFERROR(INDEX(#REF!,MATCH(AM298,#REF!,0))*AN298,0))</f>
        <v>0</v>
      </c>
      <c r="AP298" s="7"/>
      <c r="AQ298" s="74"/>
      <c r="AR298" s="99">
        <f>IF(OR(AP298="",AQ298=""),0,IFERROR(INDEX(#REF!,MATCH(AP298,#REF!,0))*AQ298,0))</f>
        <v>0</v>
      </c>
      <c r="AS298" s="7"/>
      <c r="AT298" s="74"/>
      <c r="AU298" s="99">
        <f>IF(OR(AS298="",AT298=""),0,IFERROR(INDEX(#REF!,MATCH(AS298,#REF!,0))*AT298,0))</f>
        <v>0</v>
      </c>
      <c r="AV298" s="7"/>
      <c r="AW298" s="74"/>
      <c r="AX298" s="99">
        <f>IF(OR(AV298="",AW298=""),0,IFERROR(INDEX(#REF!,MATCH(AV298,#REF!,0))*AW298,0))</f>
        <v>0</v>
      </c>
      <c r="AY298" s="7"/>
      <c r="AZ298" s="77"/>
      <c r="BA298" s="99">
        <f>IF(OR(AY298="",AZ298=""),0,IFERROR(INDEX(#REF!,MATCH(AY298,#REF!,0))*AZ298,0))</f>
        <v>0</v>
      </c>
      <c r="BB298" s="100">
        <f t="shared" si="43"/>
        <v>0</v>
      </c>
      <c r="BC298" s="110" t="str">
        <f t="shared" si="44"/>
        <v/>
      </c>
      <c r="BD298" s="62"/>
    </row>
    <row r="299" spans="1:56" ht="19.5" customHeight="1" x14ac:dyDescent="0.45">
      <c r="A299" s="104" t="str">
        <f t="shared" si="45"/>
        <v/>
      </c>
      <c r="B299" s="5"/>
      <c r="C299" s="109"/>
      <c r="D299" s="107"/>
      <c r="E299" s="6"/>
      <c r="F299" s="85"/>
      <c r="G299" s="85"/>
      <c r="H299" s="104" t="str">
        <f t="shared" si="37"/>
        <v/>
      </c>
      <c r="I299" s="103" t="str">
        <f>IFERROR(INDEX(#REF!,MATCH(E299,#REF!,0)),"")</f>
        <v/>
      </c>
      <c r="J299" s="6"/>
      <c r="K299" s="103" t="str">
        <f t="shared" si="38"/>
        <v/>
      </c>
      <c r="L299" s="8"/>
      <c r="M299" s="102" t="str">
        <f t="shared" si="39"/>
        <v/>
      </c>
      <c r="N299" s="9"/>
      <c r="O299" s="103" t="str">
        <f t="shared" si="40"/>
        <v/>
      </c>
      <c r="P299" s="6"/>
      <c r="Q299" s="7"/>
      <c r="R299" s="10"/>
      <c r="S299" s="29" t="str">
        <f t="shared" ca="1" si="41"/>
        <v/>
      </c>
      <c r="T299" s="7"/>
      <c r="U299" s="74"/>
      <c r="V299" s="101">
        <f>IF(OR(T299="",U299=""),0,IFERROR(INDEX(#REF!,MATCH(T299,#REF!,0))*U299,0))</f>
        <v>0</v>
      </c>
      <c r="W299" s="7"/>
      <c r="X299" s="74"/>
      <c r="Y299" s="101">
        <f>IF(OR(W299="",X299=""),0,IFERROR(INDEX(#REF!,MATCH(W299,#REF!,0))*X299,0))</f>
        <v>0</v>
      </c>
      <c r="Z299" s="7"/>
      <c r="AA299" s="74"/>
      <c r="AB299" s="101">
        <f>IF(OR(Z299="",AA299=""),0,IFERROR(INDEX(#REF!,MATCH(Z299,#REF!,0))*AA299,0))</f>
        <v>0</v>
      </c>
      <c r="AC299" s="7"/>
      <c r="AD299" s="74"/>
      <c r="AE299" s="101">
        <f>IF(OR(AC299="",AD299=""),0,IFERROR(INDEX(#REF!,MATCH(AC299,#REF!,0))*AD299,0))</f>
        <v>0</v>
      </c>
      <c r="AF299" s="7"/>
      <c r="AG299" s="74"/>
      <c r="AH299" s="101">
        <f>IF(OR(AF299="",AG299=""),0,IFERROR(INDEX(#REF!,MATCH(AF299,#REF!,0))*AG299,0))</f>
        <v>0</v>
      </c>
      <c r="AI299" s="7"/>
      <c r="AJ299" s="74"/>
      <c r="AK299" s="101">
        <f>IF(OR(AI299="",AJ299=""),0,IFERROR(INDEX(#REF!,MATCH(AI299,#REF!,0))*AJ299,0))</f>
        <v>0</v>
      </c>
      <c r="AL299" s="101">
        <f t="shared" si="42"/>
        <v>0</v>
      </c>
      <c r="AM299" s="7"/>
      <c r="AN299" s="72"/>
      <c r="AO299" s="99">
        <f>IF(OR(AM299="",AN299=""),0,IFERROR(INDEX(#REF!,MATCH(AM299,#REF!,0))*AN299,0))</f>
        <v>0</v>
      </c>
      <c r="AP299" s="7"/>
      <c r="AQ299" s="74"/>
      <c r="AR299" s="99">
        <f>IF(OR(AP299="",AQ299=""),0,IFERROR(INDEX(#REF!,MATCH(AP299,#REF!,0))*AQ299,0))</f>
        <v>0</v>
      </c>
      <c r="AS299" s="7"/>
      <c r="AT299" s="74"/>
      <c r="AU299" s="99">
        <f>IF(OR(AS299="",AT299=""),0,IFERROR(INDEX(#REF!,MATCH(AS299,#REF!,0))*AT299,0))</f>
        <v>0</v>
      </c>
      <c r="AV299" s="7"/>
      <c r="AW299" s="74"/>
      <c r="AX299" s="99">
        <f>IF(OR(AV299="",AW299=""),0,IFERROR(INDEX(#REF!,MATCH(AV299,#REF!,0))*AW299,0))</f>
        <v>0</v>
      </c>
      <c r="AY299" s="7"/>
      <c r="AZ299" s="77"/>
      <c r="BA299" s="99">
        <f>IF(OR(AY299="",AZ299=""),0,IFERROR(INDEX(#REF!,MATCH(AY299,#REF!,0))*AZ299,0))</f>
        <v>0</v>
      </c>
      <c r="BB299" s="100">
        <f t="shared" si="43"/>
        <v>0</v>
      </c>
      <c r="BC299" s="110" t="str">
        <f t="shared" si="44"/>
        <v/>
      </c>
      <c r="BD299" s="62"/>
    </row>
    <row r="300" spans="1:56" ht="19.5" customHeight="1" x14ac:dyDescent="0.45">
      <c r="A300" s="104" t="str">
        <f t="shared" si="45"/>
        <v/>
      </c>
      <c r="B300" s="5"/>
      <c r="C300" s="109"/>
      <c r="D300" s="107"/>
      <c r="E300" s="6"/>
      <c r="F300" s="85"/>
      <c r="G300" s="85"/>
      <c r="H300" s="104" t="str">
        <f t="shared" si="37"/>
        <v/>
      </c>
      <c r="I300" s="103" t="str">
        <f>IFERROR(INDEX(#REF!,MATCH(E300,#REF!,0)),"")</f>
        <v/>
      </c>
      <c r="J300" s="6"/>
      <c r="K300" s="103" t="str">
        <f t="shared" si="38"/>
        <v/>
      </c>
      <c r="L300" s="8"/>
      <c r="M300" s="102" t="str">
        <f t="shared" si="39"/>
        <v/>
      </c>
      <c r="N300" s="9"/>
      <c r="O300" s="103" t="str">
        <f t="shared" si="40"/>
        <v/>
      </c>
      <c r="P300" s="6"/>
      <c r="Q300" s="7"/>
      <c r="R300" s="10"/>
      <c r="S300" s="29" t="str">
        <f t="shared" ca="1" si="41"/>
        <v/>
      </c>
      <c r="T300" s="7"/>
      <c r="U300" s="74"/>
      <c r="V300" s="101">
        <f>IF(OR(T300="",U300=""),0,IFERROR(INDEX(#REF!,MATCH(T300,#REF!,0))*U300,0))</f>
        <v>0</v>
      </c>
      <c r="W300" s="7"/>
      <c r="X300" s="74"/>
      <c r="Y300" s="101">
        <f>IF(OR(W300="",X300=""),0,IFERROR(INDEX(#REF!,MATCH(W300,#REF!,0))*X300,0))</f>
        <v>0</v>
      </c>
      <c r="Z300" s="7"/>
      <c r="AA300" s="74"/>
      <c r="AB300" s="101">
        <f>IF(OR(Z300="",AA300=""),0,IFERROR(INDEX(#REF!,MATCH(Z300,#REF!,0))*AA300,0))</f>
        <v>0</v>
      </c>
      <c r="AC300" s="7"/>
      <c r="AD300" s="74"/>
      <c r="AE300" s="101">
        <f>IF(OR(AC300="",AD300=""),0,IFERROR(INDEX(#REF!,MATCH(AC300,#REF!,0))*AD300,0))</f>
        <v>0</v>
      </c>
      <c r="AF300" s="7"/>
      <c r="AG300" s="74"/>
      <c r="AH300" s="101">
        <f>IF(OR(AF300="",AG300=""),0,IFERROR(INDEX(#REF!,MATCH(AF300,#REF!,0))*AG300,0))</f>
        <v>0</v>
      </c>
      <c r="AI300" s="7"/>
      <c r="AJ300" s="74"/>
      <c r="AK300" s="101">
        <f>IF(OR(AI300="",AJ300=""),0,IFERROR(INDEX(#REF!,MATCH(AI300,#REF!,0))*AJ300,0))</f>
        <v>0</v>
      </c>
      <c r="AL300" s="101">
        <f t="shared" si="42"/>
        <v>0</v>
      </c>
      <c r="AM300" s="7"/>
      <c r="AN300" s="72"/>
      <c r="AO300" s="99">
        <f>IF(OR(AM300="",AN300=""),0,IFERROR(INDEX(#REF!,MATCH(AM300,#REF!,0))*AN300,0))</f>
        <v>0</v>
      </c>
      <c r="AP300" s="7"/>
      <c r="AQ300" s="74"/>
      <c r="AR300" s="99">
        <f>IF(OR(AP300="",AQ300=""),0,IFERROR(INDEX(#REF!,MATCH(AP300,#REF!,0))*AQ300,0))</f>
        <v>0</v>
      </c>
      <c r="AS300" s="7"/>
      <c r="AT300" s="74"/>
      <c r="AU300" s="99">
        <f>IF(OR(AS300="",AT300=""),0,IFERROR(INDEX(#REF!,MATCH(AS300,#REF!,0))*AT300,0))</f>
        <v>0</v>
      </c>
      <c r="AV300" s="7"/>
      <c r="AW300" s="74"/>
      <c r="AX300" s="99">
        <f>IF(OR(AV300="",AW300=""),0,IFERROR(INDEX(#REF!,MATCH(AV300,#REF!,0))*AW300,0))</f>
        <v>0</v>
      </c>
      <c r="AY300" s="7"/>
      <c r="AZ300" s="77"/>
      <c r="BA300" s="99">
        <f>IF(OR(AY300="",AZ300=""),0,IFERROR(INDEX(#REF!,MATCH(AY300,#REF!,0))*AZ300,0))</f>
        <v>0</v>
      </c>
      <c r="BB300" s="100">
        <f t="shared" si="43"/>
        <v>0</v>
      </c>
      <c r="BC300" s="110" t="str">
        <f t="shared" si="44"/>
        <v/>
      </c>
      <c r="BD300" s="62"/>
    </row>
    <row r="301" spans="1:56" ht="19.5" customHeight="1" x14ac:dyDescent="0.45">
      <c r="A301" s="104" t="str">
        <f t="shared" si="45"/>
        <v/>
      </c>
      <c r="B301" s="5"/>
      <c r="C301" s="109"/>
      <c r="D301" s="107"/>
      <c r="E301" s="6"/>
      <c r="F301" s="85"/>
      <c r="G301" s="85"/>
      <c r="H301" s="104" t="str">
        <f t="shared" si="37"/>
        <v/>
      </c>
      <c r="I301" s="103" t="str">
        <f>IFERROR(INDEX(#REF!,MATCH(E301,#REF!,0)),"")</f>
        <v/>
      </c>
      <c r="J301" s="6"/>
      <c r="K301" s="103" t="str">
        <f t="shared" si="38"/>
        <v/>
      </c>
      <c r="L301" s="8"/>
      <c r="M301" s="102" t="str">
        <f t="shared" si="39"/>
        <v/>
      </c>
      <c r="N301" s="9"/>
      <c r="O301" s="103" t="str">
        <f t="shared" si="40"/>
        <v/>
      </c>
      <c r="P301" s="6"/>
      <c r="Q301" s="7"/>
      <c r="R301" s="10"/>
      <c r="S301" s="29" t="str">
        <f t="shared" ca="1" si="41"/>
        <v/>
      </c>
      <c r="T301" s="7"/>
      <c r="U301" s="74"/>
      <c r="V301" s="101">
        <f>IF(OR(T301="",U301=""),0,IFERROR(INDEX(#REF!,MATCH(T301,#REF!,0))*U301,0))</f>
        <v>0</v>
      </c>
      <c r="W301" s="7"/>
      <c r="X301" s="74"/>
      <c r="Y301" s="101">
        <f>IF(OR(W301="",X301=""),0,IFERROR(INDEX(#REF!,MATCH(W301,#REF!,0))*X301,0))</f>
        <v>0</v>
      </c>
      <c r="Z301" s="7"/>
      <c r="AA301" s="74"/>
      <c r="AB301" s="101">
        <f>IF(OR(Z301="",AA301=""),0,IFERROR(INDEX(#REF!,MATCH(Z301,#REF!,0))*AA301,0))</f>
        <v>0</v>
      </c>
      <c r="AC301" s="7"/>
      <c r="AD301" s="74"/>
      <c r="AE301" s="101">
        <f>IF(OR(AC301="",AD301=""),0,IFERROR(INDEX(#REF!,MATCH(AC301,#REF!,0))*AD301,0))</f>
        <v>0</v>
      </c>
      <c r="AF301" s="7"/>
      <c r="AG301" s="74"/>
      <c r="AH301" s="101">
        <f>IF(OR(AF301="",AG301=""),0,IFERROR(INDEX(#REF!,MATCH(AF301,#REF!,0))*AG301,0))</f>
        <v>0</v>
      </c>
      <c r="AI301" s="7"/>
      <c r="AJ301" s="74"/>
      <c r="AK301" s="101">
        <f>IF(OR(AI301="",AJ301=""),0,IFERROR(INDEX(#REF!,MATCH(AI301,#REF!,0))*AJ301,0))</f>
        <v>0</v>
      </c>
      <c r="AL301" s="101">
        <f t="shared" si="42"/>
        <v>0</v>
      </c>
      <c r="AM301" s="7"/>
      <c r="AN301" s="72"/>
      <c r="AO301" s="99">
        <f>IF(OR(AM301="",AN301=""),0,IFERROR(INDEX(#REF!,MATCH(AM301,#REF!,0))*AN301,0))</f>
        <v>0</v>
      </c>
      <c r="AP301" s="7"/>
      <c r="AQ301" s="74"/>
      <c r="AR301" s="99">
        <f>IF(OR(AP301="",AQ301=""),0,IFERROR(INDEX(#REF!,MATCH(AP301,#REF!,0))*AQ301,0))</f>
        <v>0</v>
      </c>
      <c r="AS301" s="7"/>
      <c r="AT301" s="74"/>
      <c r="AU301" s="99">
        <f>IF(OR(AS301="",AT301=""),0,IFERROR(INDEX(#REF!,MATCH(AS301,#REF!,0))*AT301,0))</f>
        <v>0</v>
      </c>
      <c r="AV301" s="7"/>
      <c r="AW301" s="74"/>
      <c r="AX301" s="99">
        <f>IF(OR(AV301="",AW301=""),0,IFERROR(INDEX(#REF!,MATCH(AV301,#REF!,0))*AW301,0))</f>
        <v>0</v>
      </c>
      <c r="AY301" s="7"/>
      <c r="AZ301" s="77"/>
      <c r="BA301" s="99">
        <f>IF(OR(AY301="",AZ301=""),0,IFERROR(INDEX(#REF!,MATCH(AY301,#REF!,0))*AZ301,0))</f>
        <v>0</v>
      </c>
      <c r="BB301" s="100">
        <f t="shared" si="43"/>
        <v>0</v>
      </c>
      <c r="BC301" s="110" t="str">
        <f t="shared" si="44"/>
        <v/>
      </c>
      <c r="BD301" s="62"/>
    </row>
    <row r="302" spans="1:56" ht="19.5" customHeight="1" x14ac:dyDescent="0.45">
      <c r="A302" s="104" t="str">
        <f t="shared" si="45"/>
        <v/>
      </c>
      <c r="B302" s="5"/>
      <c r="C302" s="109"/>
      <c r="D302" s="107"/>
      <c r="E302" s="6"/>
      <c r="F302" s="85"/>
      <c r="G302" s="85"/>
      <c r="H302" s="104" t="str">
        <f t="shared" si="37"/>
        <v/>
      </c>
      <c r="I302" s="103" t="str">
        <f>IFERROR(INDEX(#REF!,MATCH(E302,#REF!,0)),"")</f>
        <v/>
      </c>
      <c r="J302" s="6"/>
      <c r="K302" s="103" t="str">
        <f t="shared" si="38"/>
        <v/>
      </c>
      <c r="L302" s="8"/>
      <c r="M302" s="102" t="str">
        <f t="shared" si="39"/>
        <v/>
      </c>
      <c r="N302" s="9"/>
      <c r="O302" s="103" t="str">
        <f t="shared" si="40"/>
        <v/>
      </c>
      <c r="P302" s="6"/>
      <c r="Q302" s="7"/>
      <c r="R302" s="10"/>
      <c r="S302" s="29" t="str">
        <f t="shared" ca="1" si="41"/>
        <v/>
      </c>
      <c r="T302" s="7"/>
      <c r="U302" s="74"/>
      <c r="V302" s="101">
        <f>IF(OR(T302="",U302=""),0,IFERROR(INDEX(#REF!,MATCH(T302,#REF!,0))*U302,0))</f>
        <v>0</v>
      </c>
      <c r="W302" s="7"/>
      <c r="X302" s="74"/>
      <c r="Y302" s="101">
        <f>IF(OR(W302="",X302=""),0,IFERROR(INDEX(#REF!,MATCH(W302,#REF!,0))*X302,0))</f>
        <v>0</v>
      </c>
      <c r="Z302" s="7"/>
      <c r="AA302" s="74"/>
      <c r="AB302" s="101">
        <f>IF(OR(Z302="",AA302=""),0,IFERROR(INDEX(#REF!,MATCH(Z302,#REF!,0))*AA302,0))</f>
        <v>0</v>
      </c>
      <c r="AC302" s="7"/>
      <c r="AD302" s="74"/>
      <c r="AE302" s="101">
        <f>IF(OR(AC302="",AD302=""),0,IFERROR(INDEX(#REF!,MATCH(AC302,#REF!,0))*AD302,0))</f>
        <v>0</v>
      </c>
      <c r="AF302" s="7"/>
      <c r="AG302" s="74"/>
      <c r="AH302" s="101">
        <f>IF(OR(AF302="",AG302=""),0,IFERROR(INDEX(#REF!,MATCH(AF302,#REF!,0))*AG302,0))</f>
        <v>0</v>
      </c>
      <c r="AI302" s="7"/>
      <c r="AJ302" s="74"/>
      <c r="AK302" s="101">
        <f>IF(OR(AI302="",AJ302=""),0,IFERROR(INDEX(#REF!,MATCH(AI302,#REF!,0))*AJ302,0))</f>
        <v>0</v>
      </c>
      <c r="AL302" s="101">
        <f t="shared" si="42"/>
        <v>0</v>
      </c>
      <c r="AM302" s="7"/>
      <c r="AN302" s="72"/>
      <c r="AO302" s="99">
        <f>IF(OR(AM302="",AN302=""),0,IFERROR(INDEX(#REF!,MATCH(AM302,#REF!,0))*AN302,0))</f>
        <v>0</v>
      </c>
      <c r="AP302" s="7"/>
      <c r="AQ302" s="74"/>
      <c r="AR302" s="99">
        <f>IF(OR(AP302="",AQ302=""),0,IFERROR(INDEX(#REF!,MATCH(AP302,#REF!,0))*AQ302,0))</f>
        <v>0</v>
      </c>
      <c r="AS302" s="7"/>
      <c r="AT302" s="74"/>
      <c r="AU302" s="99">
        <f>IF(OR(AS302="",AT302=""),0,IFERROR(INDEX(#REF!,MATCH(AS302,#REF!,0))*AT302,0))</f>
        <v>0</v>
      </c>
      <c r="AV302" s="7"/>
      <c r="AW302" s="74"/>
      <c r="AX302" s="99">
        <f>IF(OR(AV302="",AW302=""),0,IFERROR(INDEX(#REF!,MATCH(AV302,#REF!,0))*AW302,0))</f>
        <v>0</v>
      </c>
      <c r="AY302" s="7"/>
      <c r="AZ302" s="77"/>
      <c r="BA302" s="99">
        <f>IF(OR(AY302="",AZ302=""),0,IFERROR(INDEX(#REF!,MATCH(AY302,#REF!,0))*AZ302,0))</f>
        <v>0</v>
      </c>
      <c r="BB302" s="100">
        <f t="shared" si="43"/>
        <v>0</v>
      </c>
      <c r="BC302" s="110" t="str">
        <f t="shared" si="44"/>
        <v/>
      </c>
      <c r="BD302" s="62"/>
    </row>
    <row r="303" spans="1:56" ht="19.5" customHeight="1" x14ac:dyDescent="0.45">
      <c r="A303" s="104" t="str">
        <f t="shared" si="45"/>
        <v/>
      </c>
      <c r="B303" s="5"/>
      <c r="C303" s="109"/>
      <c r="D303" s="107"/>
      <c r="E303" s="6"/>
      <c r="F303" s="85"/>
      <c r="G303" s="85"/>
      <c r="H303" s="104" t="str">
        <f t="shared" si="37"/>
        <v/>
      </c>
      <c r="I303" s="103" t="str">
        <f>IFERROR(INDEX(#REF!,MATCH(E303,#REF!,0)),"")</f>
        <v/>
      </c>
      <c r="J303" s="6"/>
      <c r="K303" s="103" t="str">
        <f t="shared" si="38"/>
        <v/>
      </c>
      <c r="L303" s="8"/>
      <c r="M303" s="102" t="str">
        <f t="shared" si="39"/>
        <v/>
      </c>
      <c r="N303" s="9"/>
      <c r="O303" s="103" t="str">
        <f t="shared" si="40"/>
        <v/>
      </c>
      <c r="P303" s="6"/>
      <c r="Q303" s="7"/>
      <c r="R303" s="10"/>
      <c r="S303" s="29" t="str">
        <f t="shared" ca="1" si="41"/>
        <v/>
      </c>
      <c r="T303" s="7"/>
      <c r="U303" s="74"/>
      <c r="V303" s="101">
        <f>IF(OR(T303="",U303=""),0,IFERROR(INDEX(#REF!,MATCH(T303,#REF!,0))*U303,0))</f>
        <v>0</v>
      </c>
      <c r="W303" s="7"/>
      <c r="X303" s="74"/>
      <c r="Y303" s="101">
        <f>IF(OR(W303="",X303=""),0,IFERROR(INDEX(#REF!,MATCH(W303,#REF!,0))*X303,0))</f>
        <v>0</v>
      </c>
      <c r="Z303" s="7"/>
      <c r="AA303" s="74"/>
      <c r="AB303" s="101">
        <f>IF(OR(Z303="",AA303=""),0,IFERROR(INDEX(#REF!,MATCH(Z303,#REF!,0))*AA303,0))</f>
        <v>0</v>
      </c>
      <c r="AC303" s="7"/>
      <c r="AD303" s="74"/>
      <c r="AE303" s="101">
        <f>IF(OR(AC303="",AD303=""),0,IFERROR(INDEX(#REF!,MATCH(AC303,#REF!,0))*AD303,0))</f>
        <v>0</v>
      </c>
      <c r="AF303" s="7"/>
      <c r="AG303" s="74"/>
      <c r="AH303" s="101">
        <f>IF(OR(AF303="",AG303=""),0,IFERROR(INDEX(#REF!,MATCH(AF303,#REF!,0))*AG303,0))</f>
        <v>0</v>
      </c>
      <c r="AI303" s="7"/>
      <c r="AJ303" s="74"/>
      <c r="AK303" s="101">
        <f>IF(OR(AI303="",AJ303=""),0,IFERROR(INDEX(#REF!,MATCH(AI303,#REF!,0))*AJ303,0))</f>
        <v>0</v>
      </c>
      <c r="AL303" s="101">
        <f t="shared" si="42"/>
        <v>0</v>
      </c>
      <c r="AM303" s="7"/>
      <c r="AN303" s="72"/>
      <c r="AO303" s="99">
        <f>IF(OR(AM303="",AN303=""),0,IFERROR(INDEX(#REF!,MATCH(AM303,#REF!,0))*AN303,0))</f>
        <v>0</v>
      </c>
      <c r="AP303" s="7"/>
      <c r="AQ303" s="74"/>
      <c r="AR303" s="99">
        <f>IF(OR(AP303="",AQ303=""),0,IFERROR(INDEX(#REF!,MATCH(AP303,#REF!,0))*AQ303,0))</f>
        <v>0</v>
      </c>
      <c r="AS303" s="7"/>
      <c r="AT303" s="74"/>
      <c r="AU303" s="99">
        <f>IF(OR(AS303="",AT303=""),0,IFERROR(INDEX(#REF!,MATCH(AS303,#REF!,0))*AT303,0))</f>
        <v>0</v>
      </c>
      <c r="AV303" s="7"/>
      <c r="AW303" s="74"/>
      <c r="AX303" s="99">
        <f>IF(OR(AV303="",AW303=""),0,IFERROR(INDEX(#REF!,MATCH(AV303,#REF!,0))*AW303,0))</f>
        <v>0</v>
      </c>
      <c r="AY303" s="7"/>
      <c r="AZ303" s="77"/>
      <c r="BA303" s="99">
        <f>IF(OR(AY303="",AZ303=""),0,IFERROR(INDEX(#REF!,MATCH(AY303,#REF!,0))*AZ303,0))</f>
        <v>0</v>
      </c>
      <c r="BB303" s="100">
        <f t="shared" si="43"/>
        <v>0</v>
      </c>
      <c r="BC303" s="110" t="str">
        <f t="shared" si="44"/>
        <v/>
      </c>
      <c r="BD303" s="62"/>
    </row>
    <row r="304" spans="1:56" ht="19.5" customHeight="1" x14ac:dyDescent="0.45">
      <c r="A304" s="104" t="str">
        <f t="shared" si="45"/>
        <v/>
      </c>
      <c r="B304" s="5"/>
      <c r="C304" s="109"/>
      <c r="D304" s="107"/>
      <c r="E304" s="6"/>
      <c r="F304" s="85"/>
      <c r="G304" s="85"/>
      <c r="H304" s="104" t="str">
        <f t="shared" si="37"/>
        <v/>
      </c>
      <c r="I304" s="103" t="str">
        <f>IFERROR(INDEX(#REF!,MATCH(E304,#REF!,0)),"")</f>
        <v/>
      </c>
      <c r="J304" s="6"/>
      <c r="K304" s="103" t="str">
        <f t="shared" si="38"/>
        <v/>
      </c>
      <c r="L304" s="8"/>
      <c r="M304" s="102" t="str">
        <f t="shared" si="39"/>
        <v/>
      </c>
      <c r="N304" s="9"/>
      <c r="O304" s="103" t="str">
        <f t="shared" si="40"/>
        <v/>
      </c>
      <c r="P304" s="6"/>
      <c r="Q304" s="7"/>
      <c r="R304" s="10"/>
      <c r="S304" s="29" t="str">
        <f t="shared" ca="1" si="41"/>
        <v/>
      </c>
      <c r="T304" s="7"/>
      <c r="U304" s="74"/>
      <c r="V304" s="101">
        <f>IF(OR(T304="",U304=""),0,IFERROR(INDEX(#REF!,MATCH(T304,#REF!,0))*U304,0))</f>
        <v>0</v>
      </c>
      <c r="W304" s="7"/>
      <c r="X304" s="74"/>
      <c r="Y304" s="101">
        <f>IF(OR(W304="",X304=""),0,IFERROR(INDEX(#REF!,MATCH(W304,#REF!,0))*X304,0))</f>
        <v>0</v>
      </c>
      <c r="Z304" s="7"/>
      <c r="AA304" s="74"/>
      <c r="AB304" s="101">
        <f>IF(OR(Z304="",AA304=""),0,IFERROR(INDEX(#REF!,MATCH(Z304,#REF!,0))*AA304,0))</f>
        <v>0</v>
      </c>
      <c r="AC304" s="7"/>
      <c r="AD304" s="74"/>
      <c r="AE304" s="101">
        <f>IF(OR(AC304="",AD304=""),0,IFERROR(INDEX(#REF!,MATCH(AC304,#REF!,0))*AD304,0))</f>
        <v>0</v>
      </c>
      <c r="AF304" s="7"/>
      <c r="AG304" s="74"/>
      <c r="AH304" s="101">
        <f>IF(OR(AF304="",AG304=""),0,IFERROR(INDEX(#REF!,MATCH(AF304,#REF!,0))*AG304,0))</f>
        <v>0</v>
      </c>
      <c r="AI304" s="7"/>
      <c r="AJ304" s="74"/>
      <c r="AK304" s="101">
        <f>IF(OR(AI304="",AJ304=""),0,IFERROR(INDEX(#REF!,MATCH(AI304,#REF!,0))*AJ304,0))</f>
        <v>0</v>
      </c>
      <c r="AL304" s="101">
        <f t="shared" si="42"/>
        <v>0</v>
      </c>
      <c r="AM304" s="7"/>
      <c r="AN304" s="72"/>
      <c r="AO304" s="99">
        <f>IF(OR(AM304="",AN304=""),0,IFERROR(INDEX(#REF!,MATCH(AM304,#REF!,0))*AN304,0))</f>
        <v>0</v>
      </c>
      <c r="AP304" s="7"/>
      <c r="AQ304" s="74"/>
      <c r="AR304" s="99">
        <f>IF(OR(AP304="",AQ304=""),0,IFERROR(INDEX(#REF!,MATCH(AP304,#REF!,0))*AQ304,0))</f>
        <v>0</v>
      </c>
      <c r="AS304" s="7"/>
      <c r="AT304" s="74"/>
      <c r="AU304" s="99">
        <f>IF(OR(AS304="",AT304=""),0,IFERROR(INDEX(#REF!,MATCH(AS304,#REF!,0))*AT304,0))</f>
        <v>0</v>
      </c>
      <c r="AV304" s="7"/>
      <c r="AW304" s="74"/>
      <c r="AX304" s="99">
        <f>IF(OR(AV304="",AW304=""),0,IFERROR(INDEX(#REF!,MATCH(AV304,#REF!,0))*AW304,0))</f>
        <v>0</v>
      </c>
      <c r="AY304" s="7"/>
      <c r="AZ304" s="77"/>
      <c r="BA304" s="99">
        <f>IF(OR(AY304="",AZ304=""),0,IFERROR(INDEX(#REF!,MATCH(AY304,#REF!,0))*AZ304,0))</f>
        <v>0</v>
      </c>
      <c r="BB304" s="100">
        <f t="shared" si="43"/>
        <v>0</v>
      </c>
      <c r="BC304" s="110" t="str">
        <f t="shared" si="44"/>
        <v/>
      </c>
      <c r="BD304" s="62"/>
    </row>
    <row r="305" spans="1:56" ht="19.5" customHeight="1" x14ac:dyDescent="0.45">
      <c r="A305" s="104" t="str">
        <f t="shared" si="45"/>
        <v/>
      </c>
      <c r="B305" s="5"/>
      <c r="C305" s="109"/>
      <c r="D305" s="107"/>
      <c r="E305" s="6"/>
      <c r="F305" s="85"/>
      <c r="G305" s="85"/>
      <c r="H305" s="104" t="str">
        <f t="shared" si="37"/>
        <v/>
      </c>
      <c r="I305" s="103" t="str">
        <f>IFERROR(INDEX(#REF!,MATCH(E305,#REF!,0)),"")</f>
        <v/>
      </c>
      <c r="J305" s="6"/>
      <c r="K305" s="103" t="str">
        <f t="shared" si="38"/>
        <v/>
      </c>
      <c r="L305" s="8"/>
      <c r="M305" s="102" t="str">
        <f t="shared" si="39"/>
        <v/>
      </c>
      <c r="N305" s="9"/>
      <c r="O305" s="103" t="str">
        <f t="shared" si="40"/>
        <v/>
      </c>
      <c r="P305" s="6"/>
      <c r="Q305" s="7"/>
      <c r="R305" s="10"/>
      <c r="S305" s="29" t="str">
        <f t="shared" ca="1" si="41"/>
        <v/>
      </c>
      <c r="T305" s="7"/>
      <c r="U305" s="74"/>
      <c r="V305" s="101">
        <f>IF(OR(T305="",U305=""),0,IFERROR(INDEX(#REF!,MATCH(T305,#REF!,0))*U305,0))</f>
        <v>0</v>
      </c>
      <c r="W305" s="7"/>
      <c r="X305" s="74"/>
      <c r="Y305" s="101">
        <f>IF(OR(W305="",X305=""),0,IFERROR(INDEX(#REF!,MATCH(W305,#REF!,0))*X305,0))</f>
        <v>0</v>
      </c>
      <c r="Z305" s="7"/>
      <c r="AA305" s="74"/>
      <c r="AB305" s="101">
        <f>IF(OR(Z305="",AA305=""),0,IFERROR(INDEX(#REF!,MATCH(Z305,#REF!,0))*AA305,0))</f>
        <v>0</v>
      </c>
      <c r="AC305" s="7"/>
      <c r="AD305" s="74"/>
      <c r="AE305" s="101">
        <f>IF(OR(AC305="",AD305=""),0,IFERROR(INDEX(#REF!,MATCH(AC305,#REF!,0))*AD305,0))</f>
        <v>0</v>
      </c>
      <c r="AF305" s="7"/>
      <c r="AG305" s="74"/>
      <c r="AH305" s="101">
        <f>IF(OR(AF305="",AG305=""),0,IFERROR(INDEX(#REF!,MATCH(AF305,#REF!,0))*AG305,0))</f>
        <v>0</v>
      </c>
      <c r="AI305" s="7"/>
      <c r="AJ305" s="74"/>
      <c r="AK305" s="101">
        <f>IF(OR(AI305="",AJ305=""),0,IFERROR(INDEX(#REF!,MATCH(AI305,#REF!,0))*AJ305,0))</f>
        <v>0</v>
      </c>
      <c r="AL305" s="101">
        <f t="shared" si="42"/>
        <v>0</v>
      </c>
      <c r="AM305" s="7"/>
      <c r="AN305" s="72"/>
      <c r="AO305" s="99">
        <f>IF(OR(AM305="",AN305=""),0,IFERROR(INDEX(#REF!,MATCH(AM305,#REF!,0))*AN305,0))</f>
        <v>0</v>
      </c>
      <c r="AP305" s="7"/>
      <c r="AQ305" s="74"/>
      <c r="AR305" s="99">
        <f>IF(OR(AP305="",AQ305=""),0,IFERROR(INDEX(#REF!,MATCH(AP305,#REF!,0))*AQ305,0))</f>
        <v>0</v>
      </c>
      <c r="AS305" s="7"/>
      <c r="AT305" s="74"/>
      <c r="AU305" s="99">
        <f>IF(OR(AS305="",AT305=""),0,IFERROR(INDEX(#REF!,MATCH(AS305,#REF!,0))*AT305,0))</f>
        <v>0</v>
      </c>
      <c r="AV305" s="7"/>
      <c r="AW305" s="74"/>
      <c r="AX305" s="99">
        <f>IF(OR(AV305="",AW305=""),0,IFERROR(INDEX(#REF!,MATCH(AV305,#REF!,0))*AW305,0))</f>
        <v>0</v>
      </c>
      <c r="AY305" s="7"/>
      <c r="AZ305" s="77"/>
      <c r="BA305" s="99">
        <f>IF(OR(AY305="",AZ305=""),0,IFERROR(INDEX(#REF!,MATCH(AY305,#REF!,0))*AZ305,0))</f>
        <v>0</v>
      </c>
      <c r="BB305" s="100">
        <f t="shared" si="43"/>
        <v>0</v>
      </c>
      <c r="BC305" s="110" t="str">
        <f t="shared" si="44"/>
        <v/>
      </c>
      <c r="BD305" s="62"/>
    </row>
    <row r="306" spans="1:56" ht="19.5" customHeight="1" x14ac:dyDescent="0.45">
      <c r="A306" s="104" t="str">
        <f t="shared" si="45"/>
        <v/>
      </c>
      <c r="B306" s="5"/>
      <c r="C306" s="109"/>
      <c r="D306" s="107"/>
      <c r="E306" s="6"/>
      <c r="F306" s="85"/>
      <c r="G306" s="85"/>
      <c r="H306" s="104" t="str">
        <f t="shared" si="37"/>
        <v/>
      </c>
      <c r="I306" s="103" t="str">
        <f>IFERROR(INDEX(#REF!,MATCH(E306,#REF!,0)),"")</f>
        <v/>
      </c>
      <c r="J306" s="6"/>
      <c r="K306" s="103" t="str">
        <f t="shared" si="38"/>
        <v/>
      </c>
      <c r="L306" s="8"/>
      <c r="M306" s="102" t="str">
        <f t="shared" si="39"/>
        <v/>
      </c>
      <c r="N306" s="9"/>
      <c r="O306" s="103" t="str">
        <f t="shared" si="40"/>
        <v/>
      </c>
      <c r="P306" s="6"/>
      <c r="Q306" s="7"/>
      <c r="R306" s="10"/>
      <c r="S306" s="29" t="str">
        <f t="shared" ca="1" si="41"/>
        <v/>
      </c>
      <c r="T306" s="7"/>
      <c r="U306" s="74"/>
      <c r="V306" s="101">
        <f>IF(OR(T306="",U306=""),0,IFERROR(INDEX(#REF!,MATCH(T306,#REF!,0))*U306,0))</f>
        <v>0</v>
      </c>
      <c r="W306" s="7"/>
      <c r="X306" s="74"/>
      <c r="Y306" s="101">
        <f>IF(OR(W306="",X306=""),0,IFERROR(INDEX(#REF!,MATCH(W306,#REF!,0))*X306,0))</f>
        <v>0</v>
      </c>
      <c r="Z306" s="7"/>
      <c r="AA306" s="74"/>
      <c r="AB306" s="101">
        <f>IF(OR(Z306="",AA306=""),0,IFERROR(INDEX(#REF!,MATCH(Z306,#REF!,0))*AA306,0))</f>
        <v>0</v>
      </c>
      <c r="AC306" s="7"/>
      <c r="AD306" s="74"/>
      <c r="AE306" s="101">
        <f>IF(OR(AC306="",AD306=""),0,IFERROR(INDEX(#REF!,MATCH(AC306,#REF!,0))*AD306,0))</f>
        <v>0</v>
      </c>
      <c r="AF306" s="7"/>
      <c r="AG306" s="74"/>
      <c r="AH306" s="101">
        <f>IF(OR(AF306="",AG306=""),0,IFERROR(INDEX(#REF!,MATCH(AF306,#REF!,0))*AG306,0))</f>
        <v>0</v>
      </c>
      <c r="AI306" s="7"/>
      <c r="AJ306" s="74"/>
      <c r="AK306" s="101">
        <f>IF(OR(AI306="",AJ306=""),0,IFERROR(INDEX(#REF!,MATCH(AI306,#REF!,0))*AJ306,0))</f>
        <v>0</v>
      </c>
      <c r="AL306" s="101">
        <f t="shared" si="42"/>
        <v>0</v>
      </c>
      <c r="AM306" s="7"/>
      <c r="AN306" s="72"/>
      <c r="AO306" s="99">
        <f>IF(OR(AM306="",AN306=""),0,IFERROR(INDEX(#REF!,MATCH(AM306,#REF!,0))*AN306,0))</f>
        <v>0</v>
      </c>
      <c r="AP306" s="7"/>
      <c r="AQ306" s="74"/>
      <c r="AR306" s="99">
        <f>IF(OR(AP306="",AQ306=""),0,IFERROR(INDEX(#REF!,MATCH(AP306,#REF!,0))*AQ306,0))</f>
        <v>0</v>
      </c>
      <c r="AS306" s="7"/>
      <c r="AT306" s="74"/>
      <c r="AU306" s="99">
        <f>IF(OR(AS306="",AT306=""),0,IFERROR(INDEX(#REF!,MATCH(AS306,#REF!,0))*AT306,0))</f>
        <v>0</v>
      </c>
      <c r="AV306" s="7"/>
      <c r="AW306" s="74"/>
      <c r="AX306" s="99">
        <f>IF(OR(AV306="",AW306=""),0,IFERROR(INDEX(#REF!,MATCH(AV306,#REF!,0))*AW306,0))</f>
        <v>0</v>
      </c>
      <c r="AY306" s="7"/>
      <c r="AZ306" s="77"/>
      <c r="BA306" s="99">
        <f>IF(OR(AY306="",AZ306=""),0,IFERROR(INDEX(#REF!,MATCH(AY306,#REF!,0))*AZ306,0))</f>
        <v>0</v>
      </c>
      <c r="BB306" s="100">
        <f t="shared" si="43"/>
        <v>0</v>
      </c>
      <c r="BC306" s="110" t="str">
        <f t="shared" si="44"/>
        <v/>
      </c>
      <c r="BD306" s="62"/>
    </row>
    <row r="307" spans="1:56" ht="19.5" customHeight="1" x14ac:dyDescent="0.45">
      <c r="A307" s="104" t="str">
        <f t="shared" si="45"/>
        <v/>
      </c>
      <c r="B307" s="5"/>
      <c r="C307" s="109"/>
      <c r="D307" s="107"/>
      <c r="E307" s="6"/>
      <c r="F307" s="85"/>
      <c r="G307" s="85"/>
      <c r="H307" s="104" t="str">
        <f t="shared" si="37"/>
        <v/>
      </c>
      <c r="I307" s="103" t="str">
        <f>IFERROR(INDEX(#REF!,MATCH(E307,#REF!,0)),"")</f>
        <v/>
      </c>
      <c r="J307" s="6"/>
      <c r="K307" s="103" t="str">
        <f t="shared" si="38"/>
        <v/>
      </c>
      <c r="L307" s="8"/>
      <c r="M307" s="102" t="str">
        <f t="shared" si="39"/>
        <v/>
      </c>
      <c r="N307" s="9"/>
      <c r="O307" s="103" t="str">
        <f t="shared" si="40"/>
        <v/>
      </c>
      <c r="P307" s="6"/>
      <c r="Q307" s="7"/>
      <c r="R307" s="10"/>
      <c r="S307" s="29" t="str">
        <f t="shared" ca="1" si="41"/>
        <v/>
      </c>
      <c r="T307" s="7"/>
      <c r="U307" s="74"/>
      <c r="V307" s="101">
        <f>IF(OR(T307="",U307=""),0,IFERROR(INDEX(#REF!,MATCH(T307,#REF!,0))*U307,0))</f>
        <v>0</v>
      </c>
      <c r="W307" s="7"/>
      <c r="X307" s="74"/>
      <c r="Y307" s="101">
        <f>IF(OR(W307="",X307=""),0,IFERROR(INDEX(#REF!,MATCH(W307,#REF!,0))*X307,0))</f>
        <v>0</v>
      </c>
      <c r="Z307" s="7"/>
      <c r="AA307" s="74"/>
      <c r="AB307" s="101">
        <f>IF(OR(Z307="",AA307=""),0,IFERROR(INDEX(#REF!,MATCH(Z307,#REF!,0))*AA307,0))</f>
        <v>0</v>
      </c>
      <c r="AC307" s="7"/>
      <c r="AD307" s="74"/>
      <c r="AE307" s="101">
        <f>IF(OR(AC307="",AD307=""),0,IFERROR(INDEX(#REF!,MATCH(AC307,#REF!,0))*AD307,0))</f>
        <v>0</v>
      </c>
      <c r="AF307" s="7"/>
      <c r="AG307" s="74"/>
      <c r="AH307" s="101">
        <f>IF(OR(AF307="",AG307=""),0,IFERROR(INDEX(#REF!,MATCH(AF307,#REF!,0))*AG307,0))</f>
        <v>0</v>
      </c>
      <c r="AI307" s="7"/>
      <c r="AJ307" s="74"/>
      <c r="AK307" s="101">
        <f>IF(OR(AI307="",AJ307=""),0,IFERROR(INDEX(#REF!,MATCH(AI307,#REF!,0))*AJ307,0))</f>
        <v>0</v>
      </c>
      <c r="AL307" s="101">
        <f t="shared" si="42"/>
        <v>0</v>
      </c>
      <c r="AM307" s="7"/>
      <c r="AN307" s="72"/>
      <c r="AO307" s="99">
        <f>IF(OR(AM307="",AN307=""),0,IFERROR(INDEX(#REF!,MATCH(AM307,#REF!,0))*AN307,0))</f>
        <v>0</v>
      </c>
      <c r="AP307" s="7"/>
      <c r="AQ307" s="74"/>
      <c r="AR307" s="99">
        <f>IF(OR(AP307="",AQ307=""),0,IFERROR(INDEX(#REF!,MATCH(AP307,#REF!,0))*AQ307,0))</f>
        <v>0</v>
      </c>
      <c r="AS307" s="7"/>
      <c r="AT307" s="74"/>
      <c r="AU307" s="99">
        <f>IF(OR(AS307="",AT307=""),0,IFERROR(INDEX(#REF!,MATCH(AS307,#REF!,0))*AT307,0))</f>
        <v>0</v>
      </c>
      <c r="AV307" s="7"/>
      <c r="AW307" s="74"/>
      <c r="AX307" s="99">
        <f>IF(OR(AV307="",AW307=""),0,IFERROR(INDEX(#REF!,MATCH(AV307,#REF!,0))*AW307,0))</f>
        <v>0</v>
      </c>
      <c r="AY307" s="7"/>
      <c r="AZ307" s="77"/>
      <c r="BA307" s="99">
        <f>IF(OR(AY307="",AZ307=""),0,IFERROR(INDEX(#REF!,MATCH(AY307,#REF!,0))*AZ307,0))</f>
        <v>0</v>
      </c>
      <c r="BB307" s="100">
        <f t="shared" si="43"/>
        <v>0</v>
      </c>
      <c r="BC307" s="110" t="str">
        <f t="shared" si="44"/>
        <v/>
      </c>
      <c r="BD307" s="62"/>
    </row>
    <row r="308" spans="1:56" ht="19.5" customHeight="1" x14ac:dyDescent="0.45">
      <c r="A308" s="104" t="str">
        <f t="shared" si="45"/>
        <v/>
      </c>
      <c r="B308" s="5"/>
      <c r="C308" s="109"/>
      <c r="D308" s="107"/>
      <c r="E308" s="6"/>
      <c r="F308" s="85"/>
      <c r="G308" s="85"/>
      <c r="H308" s="104" t="str">
        <f t="shared" si="37"/>
        <v/>
      </c>
      <c r="I308" s="103" t="str">
        <f>IFERROR(INDEX(#REF!,MATCH(E308,#REF!,0)),"")</f>
        <v/>
      </c>
      <c r="J308" s="6"/>
      <c r="K308" s="103" t="str">
        <f t="shared" si="38"/>
        <v/>
      </c>
      <c r="L308" s="8"/>
      <c r="M308" s="102" t="str">
        <f t="shared" si="39"/>
        <v/>
      </c>
      <c r="N308" s="9"/>
      <c r="O308" s="103" t="str">
        <f t="shared" si="40"/>
        <v/>
      </c>
      <c r="P308" s="6"/>
      <c r="Q308" s="7"/>
      <c r="R308" s="10"/>
      <c r="S308" s="29" t="str">
        <f t="shared" ca="1" si="41"/>
        <v/>
      </c>
      <c r="T308" s="7"/>
      <c r="U308" s="74"/>
      <c r="V308" s="101">
        <f>IF(OR(T308="",U308=""),0,IFERROR(INDEX(#REF!,MATCH(T308,#REF!,0))*U308,0))</f>
        <v>0</v>
      </c>
      <c r="W308" s="7"/>
      <c r="X308" s="74"/>
      <c r="Y308" s="101">
        <f>IF(OR(W308="",X308=""),0,IFERROR(INDEX(#REF!,MATCH(W308,#REF!,0))*X308,0))</f>
        <v>0</v>
      </c>
      <c r="Z308" s="7"/>
      <c r="AA308" s="74"/>
      <c r="AB308" s="101">
        <f>IF(OR(Z308="",AA308=""),0,IFERROR(INDEX(#REF!,MATCH(Z308,#REF!,0))*AA308,0))</f>
        <v>0</v>
      </c>
      <c r="AC308" s="7"/>
      <c r="AD308" s="74"/>
      <c r="AE308" s="101">
        <f>IF(OR(AC308="",AD308=""),0,IFERROR(INDEX(#REF!,MATCH(AC308,#REF!,0))*AD308,0))</f>
        <v>0</v>
      </c>
      <c r="AF308" s="7"/>
      <c r="AG308" s="74"/>
      <c r="AH308" s="101">
        <f>IF(OR(AF308="",AG308=""),0,IFERROR(INDEX(#REF!,MATCH(AF308,#REF!,0))*AG308,0))</f>
        <v>0</v>
      </c>
      <c r="AI308" s="7"/>
      <c r="AJ308" s="74"/>
      <c r="AK308" s="101">
        <f>IF(OR(AI308="",AJ308=""),0,IFERROR(INDEX(#REF!,MATCH(AI308,#REF!,0))*AJ308,0))</f>
        <v>0</v>
      </c>
      <c r="AL308" s="101">
        <f t="shared" si="42"/>
        <v>0</v>
      </c>
      <c r="AM308" s="7"/>
      <c r="AN308" s="72"/>
      <c r="AO308" s="99">
        <f>IF(OR(AM308="",AN308=""),0,IFERROR(INDEX(#REF!,MATCH(AM308,#REF!,0))*AN308,0))</f>
        <v>0</v>
      </c>
      <c r="AP308" s="7"/>
      <c r="AQ308" s="74"/>
      <c r="AR308" s="99">
        <f>IF(OR(AP308="",AQ308=""),0,IFERROR(INDEX(#REF!,MATCH(AP308,#REF!,0))*AQ308,0))</f>
        <v>0</v>
      </c>
      <c r="AS308" s="7"/>
      <c r="AT308" s="74"/>
      <c r="AU308" s="99">
        <f>IF(OR(AS308="",AT308=""),0,IFERROR(INDEX(#REF!,MATCH(AS308,#REF!,0))*AT308,0))</f>
        <v>0</v>
      </c>
      <c r="AV308" s="7"/>
      <c r="AW308" s="74"/>
      <c r="AX308" s="99">
        <f>IF(OR(AV308="",AW308=""),0,IFERROR(INDEX(#REF!,MATCH(AV308,#REF!,0))*AW308,0))</f>
        <v>0</v>
      </c>
      <c r="AY308" s="7"/>
      <c r="AZ308" s="77"/>
      <c r="BA308" s="99">
        <f>IF(OR(AY308="",AZ308=""),0,IFERROR(INDEX(#REF!,MATCH(AY308,#REF!,0))*AZ308,0))</f>
        <v>0</v>
      </c>
      <c r="BB308" s="100">
        <f t="shared" si="43"/>
        <v>0</v>
      </c>
      <c r="BC308" s="110" t="str">
        <f t="shared" si="44"/>
        <v/>
      </c>
      <c r="BD308" s="62"/>
    </row>
    <row r="309" spans="1:56" ht="19.5" customHeight="1" x14ac:dyDescent="0.45">
      <c r="A309" s="104" t="str">
        <f t="shared" si="45"/>
        <v/>
      </c>
      <c r="B309" s="5"/>
      <c r="C309" s="109"/>
      <c r="D309" s="107"/>
      <c r="E309" s="6"/>
      <c r="F309" s="85"/>
      <c r="G309" s="85"/>
      <c r="H309" s="104" t="str">
        <f t="shared" si="37"/>
        <v/>
      </c>
      <c r="I309" s="103" t="str">
        <f>IFERROR(INDEX(#REF!,MATCH(E309,#REF!,0)),"")</f>
        <v/>
      </c>
      <c r="J309" s="6"/>
      <c r="K309" s="103" t="str">
        <f t="shared" si="38"/>
        <v/>
      </c>
      <c r="L309" s="8"/>
      <c r="M309" s="102" t="str">
        <f t="shared" si="39"/>
        <v/>
      </c>
      <c r="N309" s="9"/>
      <c r="O309" s="103" t="str">
        <f t="shared" si="40"/>
        <v/>
      </c>
      <c r="P309" s="6"/>
      <c r="Q309" s="7"/>
      <c r="R309" s="10"/>
      <c r="S309" s="29" t="str">
        <f t="shared" ca="1" si="41"/>
        <v/>
      </c>
      <c r="T309" s="7"/>
      <c r="U309" s="74"/>
      <c r="V309" s="101">
        <f>IF(OR(T309="",U309=""),0,IFERROR(INDEX(#REF!,MATCH(T309,#REF!,0))*U309,0))</f>
        <v>0</v>
      </c>
      <c r="W309" s="7"/>
      <c r="X309" s="74"/>
      <c r="Y309" s="101">
        <f>IF(OR(W309="",X309=""),0,IFERROR(INDEX(#REF!,MATCH(W309,#REF!,0))*X309,0))</f>
        <v>0</v>
      </c>
      <c r="Z309" s="7"/>
      <c r="AA309" s="74"/>
      <c r="AB309" s="101">
        <f>IF(OR(Z309="",AA309=""),0,IFERROR(INDEX(#REF!,MATCH(Z309,#REF!,0))*AA309,0))</f>
        <v>0</v>
      </c>
      <c r="AC309" s="7"/>
      <c r="AD309" s="74"/>
      <c r="AE309" s="101">
        <f>IF(OR(AC309="",AD309=""),0,IFERROR(INDEX(#REF!,MATCH(AC309,#REF!,0))*AD309,0))</f>
        <v>0</v>
      </c>
      <c r="AF309" s="7"/>
      <c r="AG309" s="74"/>
      <c r="AH309" s="101">
        <f>IF(OR(AF309="",AG309=""),0,IFERROR(INDEX(#REF!,MATCH(AF309,#REF!,0))*AG309,0))</f>
        <v>0</v>
      </c>
      <c r="AI309" s="7"/>
      <c r="AJ309" s="74"/>
      <c r="AK309" s="101">
        <f>IF(OR(AI309="",AJ309=""),0,IFERROR(INDEX(#REF!,MATCH(AI309,#REF!,0))*AJ309,0))</f>
        <v>0</v>
      </c>
      <c r="AL309" s="101">
        <f t="shared" si="42"/>
        <v>0</v>
      </c>
      <c r="AM309" s="7"/>
      <c r="AN309" s="72"/>
      <c r="AO309" s="99">
        <f>IF(OR(AM309="",AN309=""),0,IFERROR(INDEX(#REF!,MATCH(AM309,#REF!,0))*AN309,0))</f>
        <v>0</v>
      </c>
      <c r="AP309" s="7"/>
      <c r="AQ309" s="74"/>
      <c r="AR309" s="99">
        <f>IF(OR(AP309="",AQ309=""),0,IFERROR(INDEX(#REF!,MATCH(AP309,#REF!,0))*AQ309,0))</f>
        <v>0</v>
      </c>
      <c r="AS309" s="7"/>
      <c r="AT309" s="74"/>
      <c r="AU309" s="99">
        <f>IF(OR(AS309="",AT309=""),0,IFERROR(INDEX(#REF!,MATCH(AS309,#REF!,0))*AT309,0))</f>
        <v>0</v>
      </c>
      <c r="AV309" s="7"/>
      <c r="AW309" s="74"/>
      <c r="AX309" s="99">
        <f>IF(OR(AV309="",AW309=""),0,IFERROR(INDEX(#REF!,MATCH(AV309,#REF!,0))*AW309,0))</f>
        <v>0</v>
      </c>
      <c r="AY309" s="7"/>
      <c r="AZ309" s="77"/>
      <c r="BA309" s="99">
        <f>IF(OR(AY309="",AZ309=""),0,IFERROR(INDEX(#REF!,MATCH(AY309,#REF!,0))*AZ309,0))</f>
        <v>0</v>
      </c>
      <c r="BB309" s="100">
        <f t="shared" si="43"/>
        <v>0</v>
      </c>
      <c r="BC309" s="110" t="str">
        <f t="shared" si="44"/>
        <v/>
      </c>
      <c r="BD309" s="62"/>
    </row>
    <row r="310" spans="1:56" ht="19.5" customHeight="1" x14ac:dyDescent="0.45">
      <c r="A310" s="104" t="str">
        <f t="shared" si="45"/>
        <v/>
      </c>
      <c r="B310" s="5"/>
      <c r="C310" s="109"/>
      <c r="D310" s="107"/>
      <c r="E310" s="6"/>
      <c r="F310" s="85"/>
      <c r="G310" s="85"/>
      <c r="H310" s="104" t="str">
        <f t="shared" si="37"/>
        <v/>
      </c>
      <c r="I310" s="103" t="str">
        <f>IFERROR(INDEX(#REF!,MATCH(E310,#REF!,0)),"")</f>
        <v/>
      </c>
      <c r="J310" s="6"/>
      <c r="K310" s="103" t="str">
        <f t="shared" si="38"/>
        <v/>
      </c>
      <c r="L310" s="8"/>
      <c r="M310" s="102" t="str">
        <f t="shared" si="39"/>
        <v/>
      </c>
      <c r="N310" s="9"/>
      <c r="O310" s="103" t="str">
        <f t="shared" si="40"/>
        <v/>
      </c>
      <c r="P310" s="6"/>
      <c r="Q310" s="7"/>
      <c r="R310" s="10"/>
      <c r="S310" s="29" t="str">
        <f t="shared" ca="1" si="41"/>
        <v/>
      </c>
      <c r="T310" s="7"/>
      <c r="U310" s="74"/>
      <c r="V310" s="101">
        <f>IF(OR(T310="",U310=""),0,IFERROR(INDEX(#REF!,MATCH(T310,#REF!,0))*U310,0))</f>
        <v>0</v>
      </c>
      <c r="W310" s="7"/>
      <c r="X310" s="74"/>
      <c r="Y310" s="101">
        <f>IF(OR(W310="",X310=""),0,IFERROR(INDEX(#REF!,MATCH(W310,#REF!,0))*X310,0))</f>
        <v>0</v>
      </c>
      <c r="Z310" s="7"/>
      <c r="AA310" s="74"/>
      <c r="AB310" s="101">
        <f>IF(OR(Z310="",AA310=""),0,IFERROR(INDEX(#REF!,MATCH(Z310,#REF!,0))*AA310,0))</f>
        <v>0</v>
      </c>
      <c r="AC310" s="7"/>
      <c r="AD310" s="74"/>
      <c r="AE310" s="101">
        <f>IF(OR(AC310="",AD310=""),0,IFERROR(INDEX(#REF!,MATCH(AC310,#REF!,0))*AD310,0))</f>
        <v>0</v>
      </c>
      <c r="AF310" s="7"/>
      <c r="AG310" s="74"/>
      <c r="AH310" s="101">
        <f>IF(OR(AF310="",AG310=""),0,IFERROR(INDEX(#REF!,MATCH(AF310,#REF!,0))*AG310,0))</f>
        <v>0</v>
      </c>
      <c r="AI310" s="7"/>
      <c r="AJ310" s="74"/>
      <c r="AK310" s="101">
        <f>IF(OR(AI310="",AJ310=""),0,IFERROR(INDEX(#REF!,MATCH(AI310,#REF!,0))*AJ310,0))</f>
        <v>0</v>
      </c>
      <c r="AL310" s="101">
        <f t="shared" si="42"/>
        <v>0</v>
      </c>
      <c r="AM310" s="7"/>
      <c r="AN310" s="72"/>
      <c r="AO310" s="99">
        <f>IF(OR(AM310="",AN310=""),0,IFERROR(INDEX(#REF!,MATCH(AM310,#REF!,0))*AN310,0))</f>
        <v>0</v>
      </c>
      <c r="AP310" s="7"/>
      <c r="AQ310" s="74"/>
      <c r="AR310" s="99">
        <f>IF(OR(AP310="",AQ310=""),0,IFERROR(INDEX(#REF!,MATCH(AP310,#REF!,0))*AQ310,0))</f>
        <v>0</v>
      </c>
      <c r="AS310" s="7"/>
      <c r="AT310" s="74"/>
      <c r="AU310" s="99">
        <f>IF(OR(AS310="",AT310=""),0,IFERROR(INDEX(#REF!,MATCH(AS310,#REF!,0))*AT310,0))</f>
        <v>0</v>
      </c>
      <c r="AV310" s="7"/>
      <c r="AW310" s="74"/>
      <c r="AX310" s="99">
        <f>IF(OR(AV310="",AW310=""),0,IFERROR(INDEX(#REF!,MATCH(AV310,#REF!,0))*AW310,0))</f>
        <v>0</v>
      </c>
      <c r="AY310" s="7"/>
      <c r="AZ310" s="77"/>
      <c r="BA310" s="99">
        <f>IF(OR(AY310="",AZ310=""),0,IFERROR(INDEX(#REF!,MATCH(AY310,#REF!,0))*AZ310,0))</f>
        <v>0</v>
      </c>
      <c r="BB310" s="100">
        <f t="shared" si="43"/>
        <v>0</v>
      </c>
      <c r="BC310" s="110" t="str">
        <f t="shared" si="44"/>
        <v/>
      </c>
      <c r="BD310" s="62"/>
    </row>
    <row r="311" spans="1:56" ht="19.5" customHeight="1" x14ac:dyDescent="0.45">
      <c r="A311" s="104" t="str">
        <f t="shared" si="45"/>
        <v/>
      </c>
      <c r="B311" s="5"/>
      <c r="C311" s="109"/>
      <c r="D311" s="107"/>
      <c r="E311" s="6"/>
      <c r="F311" s="85"/>
      <c r="G311" s="85"/>
      <c r="H311" s="104" t="str">
        <f t="shared" si="37"/>
        <v/>
      </c>
      <c r="I311" s="103" t="str">
        <f>IFERROR(INDEX(#REF!,MATCH(E311,#REF!,0)),"")</f>
        <v/>
      </c>
      <c r="J311" s="6"/>
      <c r="K311" s="103" t="str">
        <f t="shared" si="38"/>
        <v/>
      </c>
      <c r="L311" s="8"/>
      <c r="M311" s="102" t="str">
        <f t="shared" si="39"/>
        <v/>
      </c>
      <c r="N311" s="9"/>
      <c r="O311" s="103" t="str">
        <f t="shared" si="40"/>
        <v/>
      </c>
      <c r="P311" s="6"/>
      <c r="Q311" s="7"/>
      <c r="R311" s="10"/>
      <c r="S311" s="29" t="str">
        <f t="shared" ca="1" si="41"/>
        <v/>
      </c>
      <c r="T311" s="7"/>
      <c r="U311" s="74"/>
      <c r="V311" s="101">
        <f>IF(OR(T311="",U311=""),0,IFERROR(INDEX(#REF!,MATCH(T311,#REF!,0))*U311,0))</f>
        <v>0</v>
      </c>
      <c r="W311" s="7"/>
      <c r="X311" s="74"/>
      <c r="Y311" s="101">
        <f>IF(OR(W311="",X311=""),0,IFERROR(INDEX(#REF!,MATCH(W311,#REF!,0))*X311,0))</f>
        <v>0</v>
      </c>
      <c r="Z311" s="7"/>
      <c r="AA311" s="74"/>
      <c r="AB311" s="101">
        <f>IF(OR(Z311="",AA311=""),0,IFERROR(INDEX(#REF!,MATCH(Z311,#REF!,0))*AA311,0))</f>
        <v>0</v>
      </c>
      <c r="AC311" s="7"/>
      <c r="AD311" s="74"/>
      <c r="AE311" s="101">
        <f>IF(OR(AC311="",AD311=""),0,IFERROR(INDEX(#REF!,MATCH(AC311,#REF!,0))*AD311,0))</f>
        <v>0</v>
      </c>
      <c r="AF311" s="7"/>
      <c r="AG311" s="74"/>
      <c r="AH311" s="101">
        <f>IF(OR(AF311="",AG311=""),0,IFERROR(INDEX(#REF!,MATCH(AF311,#REF!,0))*AG311,0))</f>
        <v>0</v>
      </c>
      <c r="AI311" s="7"/>
      <c r="AJ311" s="74"/>
      <c r="AK311" s="101">
        <f>IF(OR(AI311="",AJ311=""),0,IFERROR(INDEX(#REF!,MATCH(AI311,#REF!,0))*AJ311,0))</f>
        <v>0</v>
      </c>
      <c r="AL311" s="101">
        <f t="shared" si="42"/>
        <v>0</v>
      </c>
      <c r="AM311" s="7"/>
      <c r="AN311" s="72"/>
      <c r="AO311" s="99">
        <f>IF(OR(AM311="",AN311=""),0,IFERROR(INDEX(#REF!,MATCH(AM311,#REF!,0))*AN311,0))</f>
        <v>0</v>
      </c>
      <c r="AP311" s="7"/>
      <c r="AQ311" s="74"/>
      <c r="AR311" s="99">
        <f>IF(OR(AP311="",AQ311=""),0,IFERROR(INDEX(#REF!,MATCH(AP311,#REF!,0))*AQ311,0))</f>
        <v>0</v>
      </c>
      <c r="AS311" s="7"/>
      <c r="AT311" s="74"/>
      <c r="AU311" s="99">
        <f>IF(OR(AS311="",AT311=""),0,IFERROR(INDEX(#REF!,MATCH(AS311,#REF!,0))*AT311,0))</f>
        <v>0</v>
      </c>
      <c r="AV311" s="7"/>
      <c r="AW311" s="74"/>
      <c r="AX311" s="99">
        <f>IF(OR(AV311="",AW311=""),0,IFERROR(INDEX(#REF!,MATCH(AV311,#REF!,0))*AW311,0))</f>
        <v>0</v>
      </c>
      <c r="AY311" s="7"/>
      <c r="AZ311" s="77"/>
      <c r="BA311" s="99">
        <f>IF(OR(AY311="",AZ311=""),0,IFERROR(INDEX(#REF!,MATCH(AY311,#REF!,0))*AZ311,0))</f>
        <v>0</v>
      </c>
      <c r="BB311" s="100">
        <f t="shared" si="43"/>
        <v>0</v>
      </c>
      <c r="BC311" s="110" t="str">
        <f t="shared" si="44"/>
        <v/>
      </c>
      <c r="BD311" s="62"/>
    </row>
    <row r="312" spans="1:56" ht="19.5" customHeight="1" x14ac:dyDescent="0.45">
      <c r="A312" s="104" t="str">
        <f t="shared" si="45"/>
        <v/>
      </c>
      <c r="B312" s="5"/>
      <c r="C312" s="109"/>
      <c r="D312" s="107"/>
      <c r="E312" s="6"/>
      <c r="F312" s="85"/>
      <c r="G312" s="85"/>
      <c r="H312" s="104" t="str">
        <f t="shared" si="37"/>
        <v/>
      </c>
      <c r="I312" s="103" t="str">
        <f>IFERROR(INDEX(#REF!,MATCH(E312,#REF!,0)),"")</f>
        <v/>
      </c>
      <c r="J312" s="6"/>
      <c r="K312" s="103" t="str">
        <f t="shared" si="38"/>
        <v/>
      </c>
      <c r="L312" s="8"/>
      <c r="M312" s="102" t="str">
        <f t="shared" si="39"/>
        <v/>
      </c>
      <c r="N312" s="9"/>
      <c r="O312" s="103" t="str">
        <f t="shared" si="40"/>
        <v/>
      </c>
      <c r="P312" s="6"/>
      <c r="Q312" s="7"/>
      <c r="R312" s="10"/>
      <c r="S312" s="29" t="str">
        <f t="shared" ca="1" si="41"/>
        <v/>
      </c>
      <c r="T312" s="7"/>
      <c r="U312" s="74"/>
      <c r="V312" s="101">
        <f>IF(OR(T312="",U312=""),0,IFERROR(INDEX(#REF!,MATCH(T312,#REF!,0))*U312,0))</f>
        <v>0</v>
      </c>
      <c r="W312" s="7"/>
      <c r="X312" s="74"/>
      <c r="Y312" s="101">
        <f>IF(OR(W312="",X312=""),0,IFERROR(INDEX(#REF!,MATCH(W312,#REF!,0))*X312,0))</f>
        <v>0</v>
      </c>
      <c r="Z312" s="7"/>
      <c r="AA312" s="74"/>
      <c r="AB312" s="101">
        <f>IF(OR(Z312="",AA312=""),0,IFERROR(INDEX(#REF!,MATCH(Z312,#REF!,0))*AA312,0))</f>
        <v>0</v>
      </c>
      <c r="AC312" s="7"/>
      <c r="AD312" s="74"/>
      <c r="AE312" s="101">
        <f>IF(OR(AC312="",AD312=""),0,IFERROR(INDEX(#REF!,MATCH(AC312,#REF!,0))*AD312,0))</f>
        <v>0</v>
      </c>
      <c r="AF312" s="7"/>
      <c r="AG312" s="74"/>
      <c r="AH312" s="101">
        <f>IF(OR(AF312="",AG312=""),0,IFERROR(INDEX(#REF!,MATCH(AF312,#REF!,0))*AG312,0))</f>
        <v>0</v>
      </c>
      <c r="AI312" s="7"/>
      <c r="AJ312" s="74"/>
      <c r="AK312" s="101">
        <f>IF(OR(AI312="",AJ312=""),0,IFERROR(INDEX(#REF!,MATCH(AI312,#REF!,0))*AJ312,0))</f>
        <v>0</v>
      </c>
      <c r="AL312" s="101">
        <f t="shared" si="42"/>
        <v>0</v>
      </c>
      <c r="AM312" s="7"/>
      <c r="AN312" s="72"/>
      <c r="AO312" s="99">
        <f>IF(OR(AM312="",AN312=""),0,IFERROR(INDEX(#REF!,MATCH(AM312,#REF!,0))*AN312,0))</f>
        <v>0</v>
      </c>
      <c r="AP312" s="7"/>
      <c r="AQ312" s="74"/>
      <c r="AR312" s="99">
        <f>IF(OR(AP312="",AQ312=""),0,IFERROR(INDEX(#REF!,MATCH(AP312,#REF!,0))*AQ312,0))</f>
        <v>0</v>
      </c>
      <c r="AS312" s="7"/>
      <c r="AT312" s="74"/>
      <c r="AU312" s="99">
        <f>IF(OR(AS312="",AT312=""),0,IFERROR(INDEX(#REF!,MATCH(AS312,#REF!,0))*AT312,0))</f>
        <v>0</v>
      </c>
      <c r="AV312" s="7"/>
      <c r="AW312" s="74"/>
      <c r="AX312" s="99">
        <f>IF(OR(AV312="",AW312=""),0,IFERROR(INDEX(#REF!,MATCH(AV312,#REF!,0))*AW312,0))</f>
        <v>0</v>
      </c>
      <c r="AY312" s="7"/>
      <c r="AZ312" s="77"/>
      <c r="BA312" s="99">
        <f>IF(OR(AY312="",AZ312=""),0,IFERROR(INDEX(#REF!,MATCH(AY312,#REF!,0))*AZ312,0))</f>
        <v>0</v>
      </c>
      <c r="BB312" s="100">
        <f t="shared" si="43"/>
        <v>0</v>
      </c>
      <c r="BC312" s="110" t="str">
        <f t="shared" si="44"/>
        <v/>
      </c>
      <c r="BD312" s="62"/>
    </row>
    <row r="313" spans="1:56" ht="19.5" customHeight="1" x14ac:dyDescent="0.45">
      <c r="A313" s="104" t="str">
        <f t="shared" si="45"/>
        <v/>
      </c>
      <c r="B313" s="5"/>
      <c r="C313" s="109"/>
      <c r="D313" s="107"/>
      <c r="E313" s="6"/>
      <c r="F313" s="85"/>
      <c r="G313" s="85"/>
      <c r="H313" s="104" t="str">
        <f t="shared" si="37"/>
        <v/>
      </c>
      <c r="I313" s="103" t="str">
        <f>IFERROR(INDEX(#REF!,MATCH(E313,#REF!,0)),"")</f>
        <v/>
      </c>
      <c r="J313" s="6"/>
      <c r="K313" s="103" t="str">
        <f t="shared" si="38"/>
        <v/>
      </c>
      <c r="L313" s="8"/>
      <c r="M313" s="102" t="str">
        <f t="shared" si="39"/>
        <v/>
      </c>
      <c r="N313" s="9"/>
      <c r="O313" s="103" t="str">
        <f t="shared" si="40"/>
        <v/>
      </c>
      <c r="P313" s="6"/>
      <c r="Q313" s="7"/>
      <c r="R313" s="10"/>
      <c r="S313" s="29" t="str">
        <f t="shared" ca="1" si="41"/>
        <v/>
      </c>
      <c r="T313" s="7"/>
      <c r="U313" s="74"/>
      <c r="V313" s="101">
        <f>IF(OR(T313="",U313=""),0,IFERROR(INDEX(#REF!,MATCH(T313,#REF!,0))*U313,0))</f>
        <v>0</v>
      </c>
      <c r="W313" s="7"/>
      <c r="X313" s="74"/>
      <c r="Y313" s="101">
        <f>IF(OR(W313="",X313=""),0,IFERROR(INDEX(#REF!,MATCH(W313,#REF!,0))*X313,0))</f>
        <v>0</v>
      </c>
      <c r="Z313" s="7"/>
      <c r="AA313" s="74"/>
      <c r="AB313" s="101">
        <f>IF(OR(Z313="",AA313=""),0,IFERROR(INDEX(#REF!,MATCH(Z313,#REF!,0))*AA313,0))</f>
        <v>0</v>
      </c>
      <c r="AC313" s="7"/>
      <c r="AD313" s="74"/>
      <c r="AE313" s="101">
        <f>IF(OR(AC313="",AD313=""),0,IFERROR(INDEX(#REF!,MATCH(AC313,#REF!,0))*AD313,0))</f>
        <v>0</v>
      </c>
      <c r="AF313" s="7"/>
      <c r="AG313" s="74"/>
      <c r="AH313" s="101">
        <f>IF(OR(AF313="",AG313=""),0,IFERROR(INDEX(#REF!,MATCH(AF313,#REF!,0))*AG313,0))</f>
        <v>0</v>
      </c>
      <c r="AI313" s="7"/>
      <c r="AJ313" s="74"/>
      <c r="AK313" s="101">
        <f>IF(OR(AI313="",AJ313=""),0,IFERROR(INDEX(#REF!,MATCH(AI313,#REF!,0))*AJ313,0))</f>
        <v>0</v>
      </c>
      <c r="AL313" s="101">
        <f t="shared" si="42"/>
        <v>0</v>
      </c>
      <c r="AM313" s="7"/>
      <c r="AN313" s="72"/>
      <c r="AO313" s="99">
        <f>IF(OR(AM313="",AN313=""),0,IFERROR(INDEX(#REF!,MATCH(AM313,#REF!,0))*AN313,0))</f>
        <v>0</v>
      </c>
      <c r="AP313" s="7"/>
      <c r="AQ313" s="74"/>
      <c r="AR313" s="99">
        <f>IF(OR(AP313="",AQ313=""),0,IFERROR(INDEX(#REF!,MATCH(AP313,#REF!,0))*AQ313,0))</f>
        <v>0</v>
      </c>
      <c r="AS313" s="7"/>
      <c r="AT313" s="74"/>
      <c r="AU313" s="99">
        <f>IF(OR(AS313="",AT313=""),0,IFERROR(INDEX(#REF!,MATCH(AS313,#REF!,0))*AT313,0))</f>
        <v>0</v>
      </c>
      <c r="AV313" s="7"/>
      <c r="AW313" s="74"/>
      <c r="AX313" s="99">
        <f>IF(OR(AV313="",AW313=""),0,IFERROR(INDEX(#REF!,MATCH(AV313,#REF!,0))*AW313,0))</f>
        <v>0</v>
      </c>
      <c r="AY313" s="7"/>
      <c r="AZ313" s="77"/>
      <c r="BA313" s="99">
        <f>IF(OR(AY313="",AZ313=""),0,IFERROR(INDEX(#REF!,MATCH(AY313,#REF!,0))*AZ313,0))</f>
        <v>0</v>
      </c>
      <c r="BB313" s="100">
        <f t="shared" si="43"/>
        <v>0</v>
      </c>
      <c r="BC313" s="110" t="str">
        <f t="shared" si="44"/>
        <v/>
      </c>
      <c r="BD313" s="62"/>
    </row>
    <row r="314" spans="1:56" ht="19.5" customHeight="1" x14ac:dyDescent="0.45">
      <c r="A314" s="104" t="str">
        <f t="shared" si="45"/>
        <v/>
      </c>
      <c r="B314" s="5"/>
      <c r="C314" s="109"/>
      <c r="D314" s="107"/>
      <c r="E314" s="6"/>
      <c r="F314" s="85"/>
      <c r="G314" s="85"/>
      <c r="H314" s="104" t="str">
        <f t="shared" si="37"/>
        <v/>
      </c>
      <c r="I314" s="103" t="str">
        <f>IFERROR(INDEX(#REF!,MATCH(E314,#REF!,0)),"")</f>
        <v/>
      </c>
      <c r="J314" s="6"/>
      <c r="K314" s="103" t="str">
        <f t="shared" si="38"/>
        <v/>
      </c>
      <c r="L314" s="8"/>
      <c r="M314" s="102" t="str">
        <f t="shared" si="39"/>
        <v/>
      </c>
      <c r="N314" s="9"/>
      <c r="O314" s="103" t="str">
        <f t="shared" si="40"/>
        <v/>
      </c>
      <c r="P314" s="6"/>
      <c r="Q314" s="7"/>
      <c r="R314" s="10"/>
      <c r="S314" s="29" t="str">
        <f t="shared" ca="1" si="41"/>
        <v/>
      </c>
      <c r="T314" s="7"/>
      <c r="U314" s="74"/>
      <c r="V314" s="101">
        <f>IF(OR(T314="",U314=""),0,IFERROR(INDEX(#REF!,MATCH(T314,#REF!,0))*U314,0))</f>
        <v>0</v>
      </c>
      <c r="W314" s="7"/>
      <c r="X314" s="74"/>
      <c r="Y314" s="101">
        <f>IF(OR(W314="",X314=""),0,IFERROR(INDEX(#REF!,MATCH(W314,#REF!,0))*X314,0))</f>
        <v>0</v>
      </c>
      <c r="Z314" s="7"/>
      <c r="AA314" s="74"/>
      <c r="AB314" s="101">
        <f>IF(OR(Z314="",AA314=""),0,IFERROR(INDEX(#REF!,MATCH(Z314,#REF!,0))*AA314,0))</f>
        <v>0</v>
      </c>
      <c r="AC314" s="7"/>
      <c r="AD314" s="74"/>
      <c r="AE314" s="101">
        <f>IF(OR(AC314="",AD314=""),0,IFERROR(INDEX(#REF!,MATCH(AC314,#REF!,0))*AD314,0))</f>
        <v>0</v>
      </c>
      <c r="AF314" s="7"/>
      <c r="AG314" s="74"/>
      <c r="AH314" s="101">
        <f>IF(OR(AF314="",AG314=""),0,IFERROR(INDEX(#REF!,MATCH(AF314,#REF!,0))*AG314,0))</f>
        <v>0</v>
      </c>
      <c r="AI314" s="7"/>
      <c r="AJ314" s="74"/>
      <c r="AK314" s="101">
        <f>IF(OR(AI314="",AJ314=""),0,IFERROR(INDEX(#REF!,MATCH(AI314,#REF!,0))*AJ314,0))</f>
        <v>0</v>
      </c>
      <c r="AL314" s="101">
        <f t="shared" si="42"/>
        <v>0</v>
      </c>
      <c r="AM314" s="7"/>
      <c r="AN314" s="72"/>
      <c r="AO314" s="99">
        <f>IF(OR(AM314="",AN314=""),0,IFERROR(INDEX(#REF!,MATCH(AM314,#REF!,0))*AN314,0))</f>
        <v>0</v>
      </c>
      <c r="AP314" s="7"/>
      <c r="AQ314" s="74"/>
      <c r="AR314" s="99">
        <f>IF(OR(AP314="",AQ314=""),0,IFERROR(INDEX(#REF!,MATCH(AP314,#REF!,0))*AQ314,0))</f>
        <v>0</v>
      </c>
      <c r="AS314" s="7"/>
      <c r="AT314" s="74"/>
      <c r="AU314" s="99">
        <f>IF(OR(AS314="",AT314=""),0,IFERROR(INDEX(#REF!,MATCH(AS314,#REF!,0))*AT314,0))</f>
        <v>0</v>
      </c>
      <c r="AV314" s="7"/>
      <c r="AW314" s="74"/>
      <c r="AX314" s="99">
        <f>IF(OR(AV314="",AW314=""),0,IFERROR(INDEX(#REF!,MATCH(AV314,#REF!,0))*AW314,0))</f>
        <v>0</v>
      </c>
      <c r="AY314" s="7"/>
      <c r="AZ314" s="77"/>
      <c r="BA314" s="99">
        <f>IF(OR(AY314="",AZ314=""),0,IFERROR(INDEX(#REF!,MATCH(AY314,#REF!,0))*AZ314,0))</f>
        <v>0</v>
      </c>
      <c r="BB314" s="100">
        <f t="shared" si="43"/>
        <v>0</v>
      </c>
      <c r="BC314" s="110" t="str">
        <f t="shared" si="44"/>
        <v/>
      </c>
      <c r="BD314" s="62"/>
    </row>
    <row r="315" spans="1:56" ht="19.5" customHeight="1" x14ac:dyDescent="0.45">
      <c r="A315" s="104" t="str">
        <f t="shared" si="45"/>
        <v/>
      </c>
      <c r="B315" s="5"/>
      <c r="C315" s="109"/>
      <c r="D315" s="107"/>
      <c r="E315" s="6"/>
      <c r="F315" s="85"/>
      <c r="G315" s="85"/>
      <c r="H315" s="104" t="str">
        <f t="shared" si="37"/>
        <v/>
      </c>
      <c r="I315" s="103" t="str">
        <f>IFERROR(INDEX(#REF!,MATCH(E315,#REF!,0)),"")</f>
        <v/>
      </c>
      <c r="J315" s="6"/>
      <c r="K315" s="103" t="str">
        <f t="shared" si="38"/>
        <v/>
      </c>
      <c r="L315" s="8"/>
      <c r="M315" s="102" t="str">
        <f t="shared" si="39"/>
        <v/>
      </c>
      <c r="N315" s="9"/>
      <c r="O315" s="103" t="str">
        <f t="shared" si="40"/>
        <v/>
      </c>
      <c r="P315" s="6"/>
      <c r="Q315" s="7"/>
      <c r="R315" s="10"/>
      <c r="S315" s="29" t="str">
        <f t="shared" ca="1" si="41"/>
        <v/>
      </c>
      <c r="T315" s="7"/>
      <c r="U315" s="74"/>
      <c r="V315" s="101">
        <f>IF(OR(T315="",U315=""),0,IFERROR(INDEX(#REF!,MATCH(T315,#REF!,0))*U315,0))</f>
        <v>0</v>
      </c>
      <c r="W315" s="7"/>
      <c r="X315" s="74"/>
      <c r="Y315" s="101">
        <f>IF(OR(W315="",X315=""),0,IFERROR(INDEX(#REF!,MATCH(W315,#REF!,0))*X315,0))</f>
        <v>0</v>
      </c>
      <c r="Z315" s="7"/>
      <c r="AA315" s="74"/>
      <c r="AB315" s="101">
        <f>IF(OR(Z315="",AA315=""),0,IFERROR(INDEX(#REF!,MATCH(Z315,#REF!,0))*AA315,0))</f>
        <v>0</v>
      </c>
      <c r="AC315" s="7"/>
      <c r="AD315" s="74"/>
      <c r="AE315" s="101">
        <f>IF(OR(AC315="",AD315=""),0,IFERROR(INDEX(#REF!,MATCH(AC315,#REF!,0))*AD315,0))</f>
        <v>0</v>
      </c>
      <c r="AF315" s="7"/>
      <c r="AG315" s="74"/>
      <c r="AH315" s="101">
        <f>IF(OR(AF315="",AG315=""),0,IFERROR(INDEX(#REF!,MATCH(AF315,#REF!,0))*AG315,0))</f>
        <v>0</v>
      </c>
      <c r="AI315" s="7"/>
      <c r="AJ315" s="74"/>
      <c r="AK315" s="101">
        <f>IF(OR(AI315="",AJ315=""),0,IFERROR(INDEX(#REF!,MATCH(AI315,#REF!,0))*AJ315,0))</f>
        <v>0</v>
      </c>
      <c r="AL315" s="101">
        <f t="shared" si="42"/>
        <v>0</v>
      </c>
      <c r="AM315" s="7"/>
      <c r="AN315" s="72"/>
      <c r="AO315" s="99">
        <f>IF(OR(AM315="",AN315=""),0,IFERROR(INDEX(#REF!,MATCH(AM315,#REF!,0))*AN315,0))</f>
        <v>0</v>
      </c>
      <c r="AP315" s="7"/>
      <c r="AQ315" s="74"/>
      <c r="AR315" s="99">
        <f>IF(OR(AP315="",AQ315=""),0,IFERROR(INDEX(#REF!,MATCH(AP315,#REF!,0))*AQ315,0))</f>
        <v>0</v>
      </c>
      <c r="AS315" s="7"/>
      <c r="AT315" s="74"/>
      <c r="AU315" s="99">
        <f>IF(OR(AS315="",AT315=""),0,IFERROR(INDEX(#REF!,MATCH(AS315,#REF!,0))*AT315,0))</f>
        <v>0</v>
      </c>
      <c r="AV315" s="7"/>
      <c r="AW315" s="74"/>
      <c r="AX315" s="99">
        <f>IF(OR(AV315="",AW315=""),0,IFERROR(INDEX(#REF!,MATCH(AV315,#REF!,0))*AW315,0))</f>
        <v>0</v>
      </c>
      <c r="AY315" s="7"/>
      <c r="AZ315" s="77"/>
      <c r="BA315" s="99">
        <f>IF(OR(AY315="",AZ315=""),0,IFERROR(INDEX(#REF!,MATCH(AY315,#REF!,0))*AZ315,0))</f>
        <v>0</v>
      </c>
      <c r="BB315" s="100">
        <f t="shared" si="43"/>
        <v>0</v>
      </c>
      <c r="BC315" s="110" t="str">
        <f t="shared" si="44"/>
        <v/>
      </c>
      <c r="BD315" s="62"/>
    </row>
    <row r="316" spans="1:56" ht="19.5" customHeight="1" x14ac:dyDescent="0.45">
      <c r="A316" s="104" t="str">
        <f t="shared" si="45"/>
        <v/>
      </c>
      <c r="B316" s="5"/>
      <c r="C316" s="109"/>
      <c r="D316" s="107"/>
      <c r="E316" s="6"/>
      <c r="F316" s="85"/>
      <c r="G316" s="85"/>
      <c r="H316" s="104" t="str">
        <f t="shared" si="37"/>
        <v/>
      </c>
      <c r="I316" s="103" t="str">
        <f>IFERROR(INDEX(#REF!,MATCH(E316,#REF!,0)),"")</f>
        <v/>
      </c>
      <c r="J316" s="6"/>
      <c r="K316" s="103" t="str">
        <f t="shared" si="38"/>
        <v/>
      </c>
      <c r="L316" s="8"/>
      <c r="M316" s="102" t="str">
        <f t="shared" si="39"/>
        <v/>
      </c>
      <c r="N316" s="9"/>
      <c r="O316" s="103" t="str">
        <f t="shared" si="40"/>
        <v/>
      </c>
      <c r="P316" s="6"/>
      <c r="Q316" s="7"/>
      <c r="R316" s="10"/>
      <c r="S316" s="29" t="str">
        <f t="shared" ca="1" si="41"/>
        <v/>
      </c>
      <c r="T316" s="7"/>
      <c r="U316" s="74"/>
      <c r="V316" s="101">
        <f>IF(OR(T316="",U316=""),0,IFERROR(INDEX(#REF!,MATCH(T316,#REF!,0))*U316,0))</f>
        <v>0</v>
      </c>
      <c r="W316" s="7"/>
      <c r="X316" s="74"/>
      <c r="Y316" s="101">
        <f>IF(OR(W316="",X316=""),0,IFERROR(INDEX(#REF!,MATCH(W316,#REF!,0))*X316,0))</f>
        <v>0</v>
      </c>
      <c r="Z316" s="7"/>
      <c r="AA316" s="74"/>
      <c r="AB316" s="101">
        <f>IF(OR(Z316="",AA316=""),0,IFERROR(INDEX(#REF!,MATCH(Z316,#REF!,0))*AA316,0))</f>
        <v>0</v>
      </c>
      <c r="AC316" s="7"/>
      <c r="AD316" s="74"/>
      <c r="AE316" s="101">
        <f>IF(OR(AC316="",AD316=""),0,IFERROR(INDEX(#REF!,MATCH(AC316,#REF!,0))*AD316,0))</f>
        <v>0</v>
      </c>
      <c r="AF316" s="7"/>
      <c r="AG316" s="74"/>
      <c r="AH316" s="101">
        <f>IF(OR(AF316="",AG316=""),0,IFERROR(INDEX(#REF!,MATCH(AF316,#REF!,0))*AG316,0))</f>
        <v>0</v>
      </c>
      <c r="AI316" s="7"/>
      <c r="AJ316" s="74"/>
      <c r="AK316" s="101">
        <f>IF(OR(AI316="",AJ316=""),0,IFERROR(INDEX(#REF!,MATCH(AI316,#REF!,0))*AJ316,0))</f>
        <v>0</v>
      </c>
      <c r="AL316" s="101">
        <f t="shared" si="42"/>
        <v>0</v>
      </c>
      <c r="AM316" s="7"/>
      <c r="AN316" s="72"/>
      <c r="AO316" s="99">
        <f>IF(OR(AM316="",AN316=""),0,IFERROR(INDEX(#REF!,MATCH(AM316,#REF!,0))*AN316,0))</f>
        <v>0</v>
      </c>
      <c r="AP316" s="7"/>
      <c r="AQ316" s="74"/>
      <c r="AR316" s="99">
        <f>IF(OR(AP316="",AQ316=""),0,IFERROR(INDEX(#REF!,MATCH(AP316,#REF!,0))*AQ316,0))</f>
        <v>0</v>
      </c>
      <c r="AS316" s="7"/>
      <c r="AT316" s="74"/>
      <c r="AU316" s="99">
        <f>IF(OR(AS316="",AT316=""),0,IFERROR(INDEX(#REF!,MATCH(AS316,#REF!,0))*AT316,0))</f>
        <v>0</v>
      </c>
      <c r="AV316" s="7"/>
      <c r="AW316" s="74"/>
      <c r="AX316" s="99">
        <f>IF(OR(AV316="",AW316=""),0,IFERROR(INDEX(#REF!,MATCH(AV316,#REF!,0))*AW316,0))</f>
        <v>0</v>
      </c>
      <c r="AY316" s="7"/>
      <c r="AZ316" s="77"/>
      <c r="BA316" s="99">
        <f>IF(OR(AY316="",AZ316=""),0,IFERROR(INDEX(#REF!,MATCH(AY316,#REF!,0))*AZ316,0))</f>
        <v>0</v>
      </c>
      <c r="BB316" s="100">
        <f t="shared" si="43"/>
        <v>0</v>
      </c>
      <c r="BC316" s="110" t="str">
        <f t="shared" si="44"/>
        <v/>
      </c>
      <c r="BD316" s="62"/>
    </row>
    <row r="317" spans="1:56" ht="19.5" customHeight="1" x14ac:dyDescent="0.45">
      <c r="A317" s="104" t="str">
        <f t="shared" si="45"/>
        <v/>
      </c>
      <c r="B317" s="5"/>
      <c r="C317" s="109"/>
      <c r="D317" s="107"/>
      <c r="E317" s="6"/>
      <c r="F317" s="85"/>
      <c r="G317" s="85"/>
      <c r="H317" s="104" t="str">
        <f t="shared" si="37"/>
        <v/>
      </c>
      <c r="I317" s="103" t="str">
        <f>IFERROR(INDEX(#REF!,MATCH(E317,#REF!,0)),"")</f>
        <v/>
      </c>
      <c r="J317" s="6"/>
      <c r="K317" s="103" t="str">
        <f t="shared" si="38"/>
        <v/>
      </c>
      <c r="L317" s="8"/>
      <c r="M317" s="102" t="str">
        <f t="shared" si="39"/>
        <v/>
      </c>
      <c r="N317" s="9"/>
      <c r="O317" s="103" t="str">
        <f t="shared" si="40"/>
        <v/>
      </c>
      <c r="P317" s="6"/>
      <c r="Q317" s="7"/>
      <c r="R317" s="10"/>
      <c r="S317" s="29" t="str">
        <f t="shared" ca="1" si="41"/>
        <v/>
      </c>
      <c r="T317" s="7"/>
      <c r="U317" s="74"/>
      <c r="V317" s="101">
        <f>IF(OR(T317="",U317=""),0,IFERROR(INDEX(#REF!,MATCH(T317,#REF!,0))*U317,0))</f>
        <v>0</v>
      </c>
      <c r="W317" s="7"/>
      <c r="X317" s="74"/>
      <c r="Y317" s="101">
        <f>IF(OR(W317="",X317=""),0,IFERROR(INDEX(#REF!,MATCH(W317,#REF!,0))*X317,0))</f>
        <v>0</v>
      </c>
      <c r="Z317" s="7"/>
      <c r="AA317" s="74"/>
      <c r="AB317" s="101">
        <f>IF(OR(Z317="",AA317=""),0,IFERROR(INDEX(#REF!,MATCH(Z317,#REF!,0))*AA317,0))</f>
        <v>0</v>
      </c>
      <c r="AC317" s="7"/>
      <c r="AD317" s="74"/>
      <c r="AE317" s="101">
        <f>IF(OR(AC317="",AD317=""),0,IFERROR(INDEX(#REF!,MATCH(AC317,#REF!,0))*AD317,0))</f>
        <v>0</v>
      </c>
      <c r="AF317" s="7"/>
      <c r="AG317" s="74"/>
      <c r="AH317" s="101">
        <f>IF(OR(AF317="",AG317=""),0,IFERROR(INDEX(#REF!,MATCH(AF317,#REF!,0))*AG317,0))</f>
        <v>0</v>
      </c>
      <c r="AI317" s="7"/>
      <c r="AJ317" s="74"/>
      <c r="AK317" s="101">
        <f>IF(OR(AI317="",AJ317=""),0,IFERROR(INDEX(#REF!,MATCH(AI317,#REF!,0))*AJ317,0))</f>
        <v>0</v>
      </c>
      <c r="AL317" s="101">
        <f t="shared" si="42"/>
        <v>0</v>
      </c>
      <c r="AM317" s="7"/>
      <c r="AN317" s="72"/>
      <c r="AO317" s="99">
        <f>IF(OR(AM317="",AN317=""),0,IFERROR(INDEX(#REF!,MATCH(AM317,#REF!,0))*AN317,0))</f>
        <v>0</v>
      </c>
      <c r="AP317" s="7"/>
      <c r="AQ317" s="74"/>
      <c r="AR317" s="99">
        <f>IF(OR(AP317="",AQ317=""),0,IFERROR(INDEX(#REF!,MATCH(AP317,#REF!,0))*AQ317,0))</f>
        <v>0</v>
      </c>
      <c r="AS317" s="7"/>
      <c r="AT317" s="74"/>
      <c r="AU317" s="99">
        <f>IF(OR(AS317="",AT317=""),0,IFERROR(INDEX(#REF!,MATCH(AS317,#REF!,0))*AT317,0))</f>
        <v>0</v>
      </c>
      <c r="AV317" s="7"/>
      <c r="AW317" s="74"/>
      <c r="AX317" s="99">
        <f>IF(OR(AV317="",AW317=""),0,IFERROR(INDEX(#REF!,MATCH(AV317,#REF!,0))*AW317,0))</f>
        <v>0</v>
      </c>
      <c r="AY317" s="7"/>
      <c r="AZ317" s="77"/>
      <c r="BA317" s="99">
        <f>IF(OR(AY317="",AZ317=""),0,IFERROR(INDEX(#REF!,MATCH(AY317,#REF!,0))*AZ317,0))</f>
        <v>0</v>
      </c>
      <c r="BB317" s="100">
        <f t="shared" si="43"/>
        <v>0</v>
      </c>
      <c r="BC317" s="110" t="str">
        <f t="shared" si="44"/>
        <v/>
      </c>
      <c r="BD317" s="62"/>
    </row>
    <row r="318" spans="1:56" ht="19.5" customHeight="1" x14ac:dyDescent="0.45">
      <c r="A318" s="104" t="str">
        <f t="shared" si="45"/>
        <v/>
      </c>
      <c r="B318" s="5"/>
      <c r="C318" s="109"/>
      <c r="D318" s="107"/>
      <c r="E318" s="6"/>
      <c r="F318" s="85"/>
      <c r="G318" s="85"/>
      <c r="H318" s="104" t="str">
        <f t="shared" si="37"/>
        <v/>
      </c>
      <c r="I318" s="103" t="str">
        <f>IFERROR(INDEX(#REF!,MATCH(E318,#REF!,0)),"")</f>
        <v/>
      </c>
      <c r="J318" s="6"/>
      <c r="K318" s="103" t="str">
        <f t="shared" si="38"/>
        <v/>
      </c>
      <c r="L318" s="8"/>
      <c r="M318" s="102" t="str">
        <f t="shared" si="39"/>
        <v/>
      </c>
      <c r="N318" s="9"/>
      <c r="O318" s="103" t="str">
        <f t="shared" si="40"/>
        <v/>
      </c>
      <c r="P318" s="6"/>
      <c r="Q318" s="7"/>
      <c r="R318" s="10"/>
      <c r="S318" s="29" t="str">
        <f t="shared" ca="1" si="41"/>
        <v/>
      </c>
      <c r="T318" s="7"/>
      <c r="U318" s="74"/>
      <c r="V318" s="101">
        <f>IF(OR(T318="",U318=""),0,IFERROR(INDEX(#REF!,MATCH(T318,#REF!,0))*U318,0))</f>
        <v>0</v>
      </c>
      <c r="W318" s="7"/>
      <c r="X318" s="74"/>
      <c r="Y318" s="101">
        <f>IF(OR(W318="",X318=""),0,IFERROR(INDEX(#REF!,MATCH(W318,#REF!,0))*X318,0))</f>
        <v>0</v>
      </c>
      <c r="Z318" s="7"/>
      <c r="AA318" s="74"/>
      <c r="AB318" s="101">
        <f>IF(OR(Z318="",AA318=""),0,IFERROR(INDEX(#REF!,MATCH(Z318,#REF!,0))*AA318,0))</f>
        <v>0</v>
      </c>
      <c r="AC318" s="7"/>
      <c r="AD318" s="74"/>
      <c r="AE318" s="101">
        <f>IF(OR(AC318="",AD318=""),0,IFERROR(INDEX(#REF!,MATCH(AC318,#REF!,0))*AD318,0))</f>
        <v>0</v>
      </c>
      <c r="AF318" s="7"/>
      <c r="AG318" s="74"/>
      <c r="AH318" s="101">
        <f>IF(OR(AF318="",AG318=""),0,IFERROR(INDEX(#REF!,MATCH(AF318,#REF!,0))*AG318,0))</f>
        <v>0</v>
      </c>
      <c r="AI318" s="7"/>
      <c r="AJ318" s="74"/>
      <c r="AK318" s="101">
        <f>IF(OR(AI318="",AJ318=""),0,IFERROR(INDEX(#REF!,MATCH(AI318,#REF!,0))*AJ318,0))</f>
        <v>0</v>
      </c>
      <c r="AL318" s="101">
        <f t="shared" si="42"/>
        <v>0</v>
      </c>
      <c r="AM318" s="7"/>
      <c r="AN318" s="72"/>
      <c r="AO318" s="99">
        <f>IF(OR(AM318="",AN318=""),0,IFERROR(INDEX(#REF!,MATCH(AM318,#REF!,0))*AN318,0))</f>
        <v>0</v>
      </c>
      <c r="AP318" s="7"/>
      <c r="AQ318" s="74"/>
      <c r="AR318" s="99">
        <f>IF(OR(AP318="",AQ318=""),0,IFERROR(INDEX(#REF!,MATCH(AP318,#REF!,0))*AQ318,0))</f>
        <v>0</v>
      </c>
      <c r="AS318" s="7"/>
      <c r="AT318" s="74"/>
      <c r="AU318" s="99">
        <f>IF(OR(AS318="",AT318=""),0,IFERROR(INDEX(#REF!,MATCH(AS318,#REF!,0))*AT318,0))</f>
        <v>0</v>
      </c>
      <c r="AV318" s="7"/>
      <c r="AW318" s="74"/>
      <c r="AX318" s="99">
        <f>IF(OR(AV318="",AW318=""),0,IFERROR(INDEX(#REF!,MATCH(AV318,#REF!,0))*AW318,0))</f>
        <v>0</v>
      </c>
      <c r="AY318" s="7"/>
      <c r="AZ318" s="77"/>
      <c r="BA318" s="99">
        <f>IF(OR(AY318="",AZ318=""),0,IFERROR(INDEX(#REF!,MATCH(AY318,#REF!,0))*AZ318,0))</f>
        <v>0</v>
      </c>
      <c r="BB318" s="100">
        <f t="shared" si="43"/>
        <v>0</v>
      </c>
      <c r="BC318" s="110" t="str">
        <f t="shared" si="44"/>
        <v/>
      </c>
      <c r="BD318" s="62"/>
    </row>
    <row r="319" spans="1:56" ht="19.5" customHeight="1" x14ac:dyDescent="0.45">
      <c r="A319" s="104" t="str">
        <f t="shared" si="45"/>
        <v/>
      </c>
      <c r="B319" s="5"/>
      <c r="C319" s="109"/>
      <c r="D319" s="107"/>
      <c r="E319" s="6"/>
      <c r="F319" s="85"/>
      <c r="G319" s="85"/>
      <c r="H319" s="104" t="str">
        <f t="shared" si="37"/>
        <v/>
      </c>
      <c r="I319" s="103" t="str">
        <f>IFERROR(INDEX(#REF!,MATCH(E319,#REF!,0)),"")</f>
        <v/>
      </c>
      <c r="J319" s="6"/>
      <c r="K319" s="103" t="str">
        <f t="shared" si="38"/>
        <v/>
      </c>
      <c r="L319" s="8"/>
      <c r="M319" s="102" t="str">
        <f t="shared" si="39"/>
        <v/>
      </c>
      <c r="N319" s="9"/>
      <c r="O319" s="103" t="str">
        <f t="shared" si="40"/>
        <v/>
      </c>
      <c r="P319" s="6"/>
      <c r="Q319" s="7"/>
      <c r="R319" s="10"/>
      <c r="S319" s="29" t="str">
        <f t="shared" ca="1" si="41"/>
        <v/>
      </c>
      <c r="T319" s="7"/>
      <c r="U319" s="74"/>
      <c r="V319" s="101">
        <f>IF(OR(T319="",U319=""),0,IFERROR(INDEX(#REF!,MATCH(T319,#REF!,0))*U319,0))</f>
        <v>0</v>
      </c>
      <c r="W319" s="7"/>
      <c r="X319" s="74"/>
      <c r="Y319" s="101">
        <f>IF(OR(W319="",X319=""),0,IFERROR(INDEX(#REF!,MATCH(W319,#REF!,0))*X319,0))</f>
        <v>0</v>
      </c>
      <c r="Z319" s="7"/>
      <c r="AA319" s="74"/>
      <c r="AB319" s="101">
        <f>IF(OR(Z319="",AA319=""),0,IFERROR(INDEX(#REF!,MATCH(Z319,#REF!,0))*AA319,0))</f>
        <v>0</v>
      </c>
      <c r="AC319" s="7"/>
      <c r="AD319" s="74"/>
      <c r="AE319" s="101">
        <f>IF(OR(AC319="",AD319=""),0,IFERROR(INDEX(#REF!,MATCH(AC319,#REF!,0))*AD319,0))</f>
        <v>0</v>
      </c>
      <c r="AF319" s="7"/>
      <c r="AG319" s="74"/>
      <c r="AH319" s="101">
        <f>IF(OR(AF319="",AG319=""),0,IFERROR(INDEX(#REF!,MATCH(AF319,#REF!,0))*AG319,0))</f>
        <v>0</v>
      </c>
      <c r="AI319" s="7"/>
      <c r="AJ319" s="74"/>
      <c r="AK319" s="101">
        <f>IF(OR(AI319="",AJ319=""),0,IFERROR(INDEX(#REF!,MATCH(AI319,#REF!,0))*AJ319,0))</f>
        <v>0</v>
      </c>
      <c r="AL319" s="101">
        <f t="shared" si="42"/>
        <v>0</v>
      </c>
      <c r="AM319" s="7"/>
      <c r="AN319" s="72"/>
      <c r="AO319" s="99">
        <f>IF(OR(AM319="",AN319=""),0,IFERROR(INDEX(#REF!,MATCH(AM319,#REF!,0))*AN319,0))</f>
        <v>0</v>
      </c>
      <c r="AP319" s="7"/>
      <c r="AQ319" s="74"/>
      <c r="AR319" s="99">
        <f>IF(OR(AP319="",AQ319=""),0,IFERROR(INDEX(#REF!,MATCH(AP319,#REF!,0))*AQ319,0))</f>
        <v>0</v>
      </c>
      <c r="AS319" s="7"/>
      <c r="AT319" s="74"/>
      <c r="AU319" s="99">
        <f>IF(OR(AS319="",AT319=""),0,IFERROR(INDEX(#REF!,MATCH(AS319,#REF!,0))*AT319,0))</f>
        <v>0</v>
      </c>
      <c r="AV319" s="7"/>
      <c r="AW319" s="74"/>
      <c r="AX319" s="99">
        <f>IF(OR(AV319="",AW319=""),0,IFERROR(INDEX(#REF!,MATCH(AV319,#REF!,0))*AW319,0))</f>
        <v>0</v>
      </c>
      <c r="AY319" s="7"/>
      <c r="AZ319" s="77"/>
      <c r="BA319" s="99">
        <f>IF(OR(AY319="",AZ319=""),0,IFERROR(INDEX(#REF!,MATCH(AY319,#REF!,0))*AZ319,0))</f>
        <v>0</v>
      </c>
      <c r="BB319" s="100">
        <f t="shared" si="43"/>
        <v>0</v>
      </c>
      <c r="BC319" s="110" t="str">
        <f t="shared" si="44"/>
        <v/>
      </c>
      <c r="BD319" s="62"/>
    </row>
    <row r="320" spans="1:56" ht="19.5" customHeight="1" x14ac:dyDescent="0.45">
      <c r="A320" s="104" t="str">
        <f t="shared" si="45"/>
        <v/>
      </c>
      <c r="B320" s="5"/>
      <c r="C320" s="109"/>
      <c r="D320" s="107"/>
      <c r="E320" s="6"/>
      <c r="F320" s="85"/>
      <c r="G320" s="85"/>
      <c r="H320" s="104" t="str">
        <f t="shared" si="37"/>
        <v/>
      </c>
      <c r="I320" s="103" t="str">
        <f>IFERROR(INDEX(#REF!,MATCH(E320,#REF!,0)),"")</f>
        <v/>
      </c>
      <c r="J320" s="6"/>
      <c r="K320" s="103" t="str">
        <f t="shared" si="38"/>
        <v/>
      </c>
      <c r="L320" s="8"/>
      <c r="M320" s="102" t="str">
        <f t="shared" si="39"/>
        <v/>
      </c>
      <c r="N320" s="9"/>
      <c r="O320" s="103" t="str">
        <f t="shared" si="40"/>
        <v/>
      </c>
      <c r="P320" s="6"/>
      <c r="Q320" s="7"/>
      <c r="R320" s="10"/>
      <c r="S320" s="29" t="str">
        <f t="shared" ca="1" si="41"/>
        <v/>
      </c>
      <c r="T320" s="7"/>
      <c r="U320" s="74"/>
      <c r="V320" s="101">
        <f>IF(OR(T320="",U320=""),0,IFERROR(INDEX(#REF!,MATCH(T320,#REF!,0))*U320,0))</f>
        <v>0</v>
      </c>
      <c r="W320" s="7"/>
      <c r="X320" s="74"/>
      <c r="Y320" s="101">
        <f>IF(OR(W320="",X320=""),0,IFERROR(INDEX(#REF!,MATCH(W320,#REF!,0))*X320,0))</f>
        <v>0</v>
      </c>
      <c r="Z320" s="7"/>
      <c r="AA320" s="74"/>
      <c r="AB320" s="101">
        <f>IF(OR(Z320="",AA320=""),0,IFERROR(INDEX(#REF!,MATCH(Z320,#REF!,0))*AA320,0))</f>
        <v>0</v>
      </c>
      <c r="AC320" s="7"/>
      <c r="AD320" s="74"/>
      <c r="AE320" s="101">
        <f>IF(OR(AC320="",AD320=""),0,IFERROR(INDEX(#REF!,MATCH(AC320,#REF!,0))*AD320,0))</f>
        <v>0</v>
      </c>
      <c r="AF320" s="7"/>
      <c r="AG320" s="74"/>
      <c r="AH320" s="101">
        <f>IF(OR(AF320="",AG320=""),0,IFERROR(INDEX(#REF!,MATCH(AF320,#REF!,0))*AG320,0))</f>
        <v>0</v>
      </c>
      <c r="AI320" s="7"/>
      <c r="AJ320" s="74"/>
      <c r="AK320" s="101">
        <f>IF(OR(AI320="",AJ320=""),0,IFERROR(INDEX(#REF!,MATCH(AI320,#REF!,0))*AJ320,0))</f>
        <v>0</v>
      </c>
      <c r="AL320" s="101">
        <f t="shared" si="42"/>
        <v>0</v>
      </c>
      <c r="AM320" s="7"/>
      <c r="AN320" s="72"/>
      <c r="AO320" s="99">
        <f>IF(OR(AM320="",AN320=""),0,IFERROR(INDEX(#REF!,MATCH(AM320,#REF!,0))*AN320,0))</f>
        <v>0</v>
      </c>
      <c r="AP320" s="7"/>
      <c r="AQ320" s="74"/>
      <c r="AR320" s="99">
        <f>IF(OR(AP320="",AQ320=""),0,IFERROR(INDEX(#REF!,MATCH(AP320,#REF!,0))*AQ320,0))</f>
        <v>0</v>
      </c>
      <c r="AS320" s="7"/>
      <c r="AT320" s="74"/>
      <c r="AU320" s="99">
        <f>IF(OR(AS320="",AT320=""),0,IFERROR(INDEX(#REF!,MATCH(AS320,#REF!,0))*AT320,0))</f>
        <v>0</v>
      </c>
      <c r="AV320" s="7"/>
      <c r="AW320" s="74"/>
      <c r="AX320" s="99">
        <f>IF(OR(AV320="",AW320=""),0,IFERROR(INDEX(#REF!,MATCH(AV320,#REF!,0))*AW320,0))</f>
        <v>0</v>
      </c>
      <c r="AY320" s="7"/>
      <c r="AZ320" s="77"/>
      <c r="BA320" s="99">
        <f>IF(OR(AY320="",AZ320=""),0,IFERROR(INDEX(#REF!,MATCH(AY320,#REF!,0))*AZ320,0))</f>
        <v>0</v>
      </c>
      <c r="BB320" s="100">
        <f t="shared" si="43"/>
        <v>0</v>
      </c>
      <c r="BC320" s="110" t="str">
        <f t="shared" si="44"/>
        <v/>
      </c>
      <c r="BD320" s="62"/>
    </row>
    <row r="321" spans="1:56" ht="19.5" customHeight="1" x14ac:dyDescent="0.45">
      <c r="A321" s="104" t="str">
        <f t="shared" si="45"/>
        <v/>
      </c>
      <c r="B321" s="5"/>
      <c r="C321" s="109"/>
      <c r="D321" s="107"/>
      <c r="E321" s="6"/>
      <c r="F321" s="85"/>
      <c r="G321" s="85"/>
      <c r="H321" s="104" t="str">
        <f t="shared" si="37"/>
        <v/>
      </c>
      <c r="I321" s="103" t="str">
        <f>IFERROR(INDEX(#REF!,MATCH(E321,#REF!,0)),"")</f>
        <v/>
      </c>
      <c r="J321" s="6"/>
      <c r="K321" s="103" t="str">
        <f t="shared" si="38"/>
        <v/>
      </c>
      <c r="L321" s="8"/>
      <c r="M321" s="102" t="str">
        <f t="shared" si="39"/>
        <v/>
      </c>
      <c r="N321" s="9"/>
      <c r="O321" s="103" t="str">
        <f t="shared" si="40"/>
        <v/>
      </c>
      <c r="P321" s="6"/>
      <c r="Q321" s="7"/>
      <c r="R321" s="10"/>
      <c r="S321" s="29" t="str">
        <f t="shared" ca="1" si="41"/>
        <v/>
      </c>
      <c r="T321" s="7"/>
      <c r="U321" s="74"/>
      <c r="V321" s="101">
        <f>IF(OR(T321="",U321=""),0,IFERROR(INDEX(#REF!,MATCH(T321,#REF!,0))*U321,0))</f>
        <v>0</v>
      </c>
      <c r="W321" s="7"/>
      <c r="X321" s="74"/>
      <c r="Y321" s="101">
        <f>IF(OR(W321="",X321=""),0,IFERROR(INDEX(#REF!,MATCH(W321,#REF!,0))*X321,0))</f>
        <v>0</v>
      </c>
      <c r="Z321" s="7"/>
      <c r="AA321" s="74"/>
      <c r="AB321" s="101">
        <f>IF(OR(Z321="",AA321=""),0,IFERROR(INDEX(#REF!,MATCH(Z321,#REF!,0))*AA321,0))</f>
        <v>0</v>
      </c>
      <c r="AC321" s="7"/>
      <c r="AD321" s="74"/>
      <c r="AE321" s="101">
        <f>IF(OR(AC321="",AD321=""),0,IFERROR(INDEX(#REF!,MATCH(AC321,#REF!,0))*AD321,0))</f>
        <v>0</v>
      </c>
      <c r="AF321" s="7"/>
      <c r="AG321" s="74"/>
      <c r="AH321" s="101">
        <f>IF(OR(AF321="",AG321=""),0,IFERROR(INDEX(#REF!,MATCH(AF321,#REF!,0))*AG321,0))</f>
        <v>0</v>
      </c>
      <c r="AI321" s="7"/>
      <c r="AJ321" s="74"/>
      <c r="AK321" s="101">
        <f>IF(OR(AI321="",AJ321=""),0,IFERROR(INDEX(#REF!,MATCH(AI321,#REF!,0))*AJ321,0))</f>
        <v>0</v>
      </c>
      <c r="AL321" s="101">
        <f t="shared" si="42"/>
        <v>0</v>
      </c>
      <c r="AM321" s="7"/>
      <c r="AN321" s="72"/>
      <c r="AO321" s="99">
        <f>IF(OR(AM321="",AN321=""),0,IFERROR(INDEX(#REF!,MATCH(AM321,#REF!,0))*AN321,0))</f>
        <v>0</v>
      </c>
      <c r="AP321" s="7"/>
      <c r="AQ321" s="74"/>
      <c r="AR321" s="99">
        <f>IF(OR(AP321="",AQ321=""),0,IFERROR(INDEX(#REF!,MATCH(AP321,#REF!,0))*AQ321,0))</f>
        <v>0</v>
      </c>
      <c r="AS321" s="7"/>
      <c r="AT321" s="74"/>
      <c r="AU321" s="99">
        <f>IF(OR(AS321="",AT321=""),0,IFERROR(INDEX(#REF!,MATCH(AS321,#REF!,0))*AT321,0))</f>
        <v>0</v>
      </c>
      <c r="AV321" s="7"/>
      <c r="AW321" s="74"/>
      <c r="AX321" s="99">
        <f>IF(OR(AV321="",AW321=""),0,IFERROR(INDEX(#REF!,MATCH(AV321,#REF!,0))*AW321,0))</f>
        <v>0</v>
      </c>
      <c r="AY321" s="7"/>
      <c r="AZ321" s="77"/>
      <c r="BA321" s="99">
        <f>IF(OR(AY321="",AZ321=""),0,IFERROR(INDEX(#REF!,MATCH(AY321,#REF!,0))*AZ321,0))</f>
        <v>0</v>
      </c>
      <c r="BB321" s="100">
        <f t="shared" si="43"/>
        <v>0</v>
      </c>
      <c r="BC321" s="110" t="str">
        <f t="shared" si="44"/>
        <v/>
      </c>
      <c r="BD321" s="62"/>
    </row>
    <row r="322" spans="1:56" ht="19.5" customHeight="1" x14ac:dyDescent="0.45">
      <c r="A322" s="104" t="str">
        <f t="shared" si="45"/>
        <v/>
      </c>
      <c r="B322" s="5"/>
      <c r="C322" s="109"/>
      <c r="D322" s="107"/>
      <c r="E322" s="6"/>
      <c r="F322" s="85"/>
      <c r="G322" s="85"/>
      <c r="H322" s="104" t="str">
        <f t="shared" si="37"/>
        <v/>
      </c>
      <c r="I322" s="103" t="str">
        <f>IFERROR(INDEX(#REF!,MATCH(E322,#REF!,0)),"")</f>
        <v/>
      </c>
      <c r="J322" s="6"/>
      <c r="K322" s="103" t="str">
        <f t="shared" si="38"/>
        <v/>
      </c>
      <c r="L322" s="8"/>
      <c r="M322" s="102" t="str">
        <f t="shared" si="39"/>
        <v/>
      </c>
      <c r="N322" s="9"/>
      <c r="O322" s="103" t="str">
        <f t="shared" si="40"/>
        <v/>
      </c>
      <c r="P322" s="6"/>
      <c r="Q322" s="7"/>
      <c r="R322" s="10"/>
      <c r="S322" s="29" t="str">
        <f t="shared" ca="1" si="41"/>
        <v/>
      </c>
      <c r="T322" s="7"/>
      <c r="U322" s="74"/>
      <c r="V322" s="101">
        <f>IF(OR(T322="",U322=""),0,IFERROR(INDEX(#REF!,MATCH(T322,#REF!,0))*U322,0))</f>
        <v>0</v>
      </c>
      <c r="W322" s="7"/>
      <c r="X322" s="74"/>
      <c r="Y322" s="101">
        <f>IF(OR(W322="",X322=""),0,IFERROR(INDEX(#REF!,MATCH(W322,#REF!,0))*X322,0))</f>
        <v>0</v>
      </c>
      <c r="Z322" s="7"/>
      <c r="AA322" s="74"/>
      <c r="AB322" s="101">
        <f>IF(OR(Z322="",AA322=""),0,IFERROR(INDEX(#REF!,MATCH(Z322,#REF!,0))*AA322,0))</f>
        <v>0</v>
      </c>
      <c r="AC322" s="7"/>
      <c r="AD322" s="74"/>
      <c r="AE322" s="101">
        <f>IF(OR(AC322="",AD322=""),0,IFERROR(INDEX(#REF!,MATCH(AC322,#REF!,0))*AD322,0))</f>
        <v>0</v>
      </c>
      <c r="AF322" s="7"/>
      <c r="AG322" s="74"/>
      <c r="AH322" s="101">
        <f>IF(OR(AF322="",AG322=""),0,IFERROR(INDEX(#REF!,MATCH(AF322,#REF!,0))*AG322,0))</f>
        <v>0</v>
      </c>
      <c r="AI322" s="7"/>
      <c r="AJ322" s="74"/>
      <c r="AK322" s="101">
        <f>IF(OR(AI322="",AJ322=""),0,IFERROR(INDEX(#REF!,MATCH(AI322,#REF!,0))*AJ322,0))</f>
        <v>0</v>
      </c>
      <c r="AL322" s="101">
        <f t="shared" si="42"/>
        <v>0</v>
      </c>
      <c r="AM322" s="7"/>
      <c r="AN322" s="72"/>
      <c r="AO322" s="99">
        <f>IF(OR(AM322="",AN322=""),0,IFERROR(INDEX(#REF!,MATCH(AM322,#REF!,0))*AN322,0))</f>
        <v>0</v>
      </c>
      <c r="AP322" s="7"/>
      <c r="AQ322" s="74"/>
      <c r="AR322" s="99">
        <f>IF(OR(AP322="",AQ322=""),0,IFERROR(INDEX(#REF!,MATCH(AP322,#REF!,0))*AQ322,0))</f>
        <v>0</v>
      </c>
      <c r="AS322" s="7"/>
      <c r="AT322" s="74"/>
      <c r="AU322" s="99">
        <f>IF(OR(AS322="",AT322=""),0,IFERROR(INDEX(#REF!,MATCH(AS322,#REF!,0))*AT322,0))</f>
        <v>0</v>
      </c>
      <c r="AV322" s="7"/>
      <c r="AW322" s="74"/>
      <c r="AX322" s="99">
        <f>IF(OR(AV322="",AW322=""),0,IFERROR(INDEX(#REF!,MATCH(AV322,#REF!,0))*AW322,0))</f>
        <v>0</v>
      </c>
      <c r="AY322" s="7"/>
      <c r="AZ322" s="77"/>
      <c r="BA322" s="99">
        <f>IF(OR(AY322="",AZ322=""),0,IFERROR(INDEX(#REF!,MATCH(AY322,#REF!,0))*AZ322,0))</f>
        <v>0</v>
      </c>
      <c r="BB322" s="100">
        <f t="shared" si="43"/>
        <v>0</v>
      </c>
      <c r="BC322" s="110" t="str">
        <f t="shared" si="44"/>
        <v/>
      </c>
      <c r="BD322" s="62"/>
    </row>
    <row r="323" spans="1:56" ht="19.5" customHeight="1" x14ac:dyDescent="0.45">
      <c r="A323" s="104" t="str">
        <f t="shared" si="45"/>
        <v/>
      </c>
      <c r="B323" s="5"/>
      <c r="C323" s="109"/>
      <c r="D323" s="107"/>
      <c r="E323" s="6"/>
      <c r="F323" s="85"/>
      <c r="G323" s="85"/>
      <c r="H323" s="104" t="str">
        <f t="shared" si="37"/>
        <v/>
      </c>
      <c r="I323" s="103" t="str">
        <f>IFERROR(INDEX(#REF!,MATCH(E323,#REF!,0)),"")</f>
        <v/>
      </c>
      <c r="J323" s="6"/>
      <c r="K323" s="103" t="str">
        <f t="shared" si="38"/>
        <v/>
      </c>
      <c r="L323" s="8"/>
      <c r="M323" s="102" t="str">
        <f t="shared" si="39"/>
        <v/>
      </c>
      <c r="N323" s="9"/>
      <c r="O323" s="103" t="str">
        <f t="shared" si="40"/>
        <v/>
      </c>
      <c r="P323" s="6"/>
      <c r="Q323" s="7"/>
      <c r="R323" s="10"/>
      <c r="S323" s="29" t="str">
        <f t="shared" ca="1" si="41"/>
        <v/>
      </c>
      <c r="T323" s="7"/>
      <c r="U323" s="74"/>
      <c r="V323" s="101">
        <f>IF(OR(T323="",U323=""),0,IFERROR(INDEX(#REF!,MATCH(T323,#REF!,0))*U323,0))</f>
        <v>0</v>
      </c>
      <c r="W323" s="7"/>
      <c r="X323" s="74"/>
      <c r="Y323" s="101">
        <f>IF(OR(W323="",X323=""),0,IFERROR(INDEX(#REF!,MATCH(W323,#REF!,0))*X323,0))</f>
        <v>0</v>
      </c>
      <c r="Z323" s="7"/>
      <c r="AA323" s="74"/>
      <c r="AB323" s="101">
        <f>IF(OR(Z323="",AA323=""),0,IFERROR(INDEX(#REF!,MATCH(Z323,#REF!,0))*AA323,0))</f>
        <v>0</v>
      </c>
      <c r="AC323" s="7"/>
      <c r="AD323" s="74"/>
      <c r="AE323" s="101">
        <f>IF(OR(AC323="",AD323=""),0,IFERROR(INDEX(#REF!,MATCH(AC323,#REF!,0))*AD323,0))</f>
        <v>0</v>
      </c>
      <c r="AF323" s="7"/>
      <c r="AG323" s="74"/>
      <c r="AH323" s="101">
        <f>IF(OR(AF323="",AG323=""),0,IFERROR(INDEX(#REF!,MATCH(AF323,#REF!,0))*AG323,0))</f>
        <v>0</v>
      </c>
      <c r="AI323" s="7"/>
      <c r="AJ323" s="74"/>
      <c r="AK323" s="101">
        <f>IF(OR(AI323="",AJ323=""),0,IFERROR(INDEX(#REF!,MATCH(AI323,#REF!,0))*AJ323,0))</f>
        <v>0</v>
      </c>
      <c r="AL323" s="101">
        <f t="shared" si="42"/>
        <v>0</v>
      </c>
      <c r="AM323" s="7"/>
      <c r="AN323" s="72"/>
      <c r="AO323" s="99">
        <f>IF(OR(AM323="",AN323=""),0,IFERROR(INDEX(#REF!,MATCH(AM323,#REF!,0))*AN323,0))</f>
        <v>0</v>
      </c>
      <c r="AP323" s="7"/>
      <c r="AQ323" s="74"/>
      <c r="AR323" s="99">
        <f>IF(OR(AP323="",AQ323=""),0,IFERROR(INDEX(#REF!,MATCH(AP323,#REF!,0))*AQ323,0))</f>
        <v>0</v>
      </c>
      <c r="AS323" s="7"/>
      <c r="AT323" s="74"/>
      <c r="AU323" s="99">
        <f>IF(OR(AS323="",AT323=""),0,IFERROR(INDEX(#REF!,MATCH(AS323,#REF!,0))*AT323,0))</f>
        <v>0</v>
      </c>
      <c r="AV323" s="7"/>
      <c r="AW323" s="74"/>
      <c r="AX323" s="99">
        <f>IF(OR(AV323="",AW323=""),0,IFERROR(INDEX(#REF!,MATCH(AV323,#REF!,0))*AW323,0))</f>
        <v>0</v>
      </c>
      <c r="AY323" s="7"/>
      <c r="AZ323" s="77"/>
      <c r="BA323" s="99">
        <f>IF(OR(AY323="",AZ323=""),0,IFERROR(INDEX(#REF!,MATCH(AY323,#REF!,0))*AZ323,0))</f>
        <v>0</v>
      </c>
      <c r="BB323" s="100">
        <f t="shared" si="43"/>
        <v>0</v>
      </c>
      <c r="BC323" s="110" t="str">
        <f t="shared" si="44"/>
        <v/>
      </c>
      <c r="BD323" s="62"/>
    </row>
    <row r="324" spans="1:56" ht="19.5" customHeight="1" x14ac:dyDescent="0.45">
      <c r="A324" s="104" t="str">
        <f t="shared" si="45"/>
        <v/>
      </c>
      <c r="B324" s="5"/>
      <c r="C324" s="109"/>
      <c r="D324" s="107"/>
      <c r="E324" s="6"/>
      <c r="F324" s="85"/>
      <c r="G324" s="85"/>
      <c r="H324" s="104" t="str">
        <f t="shared" si="37"/>
        <v/>
      </c>
      <c r="I324" s="103" t="str">
        <f>IFERROR(INDEX(#REF!,MATCH(E324,#REF!,0)),"")</f>
        <v/>
      </c>
      <c r="J324" s="6"/>
      <c r="K324" s="103" t="str">
        <f t="shared" si="38"/>
        <v/>
      </c>
      <c r="L324" s="8"/>
      <c r="M324" s="102" t="str">
        <f t="shared" si="39"/>
        <v/>
      </c>
      <c r="N324" s="9"/>
      <c r="O324" s="103" t="str">
        <f t="shared" si="40"/>
        <v/>
      </c>
      <c r="P324" s="6"/>
      <c r="Q324" s="7"/>
      <c r="R324" s="10"/>
      <c r="S324" s="29" t="str">
        <f t="shared" ca="1" si="41"/>
        <v/>
      </c>
      <c r="T324" s="7"/>
      <c r="U324" s="74"/>
      <c r="V324" s="101">
        <f>IF(OR(T324="",U324=""),0,IFERROR(INDEX(#REF!,MATCH(T324,#REF!,0))*U324,0))</f>
        <v>0</v>
      </c>
      <c r="W324" s="7"/>
      <c r="X324" s="74"/>
      <c r="Y324" s="101">
        <f>IF(OR(W324="",X324=""),0,IFERROR(INDEX(#REF!,MATCH(W324,#REF!,0))*X324,0))</f>
        <v>0</v>
      </c>
      <c r="Z324" s="7"/>
      <c r="AA324" s="74"/>
      <c r="AB324" s="101">
        <f>IF(OR(Z324="",AA324=""),0,IFERROR(INDEX(#REF!,MATCH(Z324,#REF!,0))*AA324,0))</f>
        <v>0</v>
      </c>
      <c r="AC324" s="7"/>
      <c r="AD324" s="74"/>
      <c r="AE324" s="101">
        <f>IF(OR(AC324="",AD324=""),0,IFERROR(INDEX(#REF!,MATCH(AC324,#REF!,0))*AD324,0))</f>
        <v>0</v>
      </c>
      <c r="AF324" s="7"/>
      <c r="AG324" s="74"/>
      <c r="AH324" s="101">
        <f>IF(OR(AF324="",AG324=""),0,IFERROR(INDEX(#REF!,MATCH(AF324,#REF!,0))*AG324,0))</f>
        <v>0</v>
      </c>
      <c r="AI324" s="7"/>
      <c r="AJ324" s="74"/>
      <c r="AK324" s="101">
        <f>IF(OR(AI324="",AJ324=""),0,IFERROR(INDEX(#REF!,MATCH(AI324,#REF!,0))*AJ324,0))</f>
        <v>0</v>
      </c>
      <c r="AL324" s="101">
        <f t="shared" si="42"/>
        <v>0</v>
      </c>
      <c r="AM324" s="7"/>
      <c r="AN324" s="72"/>
      <c r="AO324" s="99">
        <f>IF(OR(AM324="",AN324=""),0,IFERROR(INDEX(#REF!,MATCH(AM324,#REF!,0))*AN324,0))</f>
        <v>0</v>
      </c>
      <c r="AP324" s="7"/>
      <c r="AQ324" s="74"/>
      <c r="AR324" s="99">
        <f>IF(OR(AP324="",AQ324=""),0,IFERROR(INDEX(#REF!,MATCH(AP324,#REF!,0))*AQ324,0))</f>
        <v>0</v>
      </c>
      <c r="AS324" s="7"/>
      <c r="AT324" s="74"/>
      <c r="AU324" s="99">
        <f>IF(OR(AS324="",AT324=""),0,IFERROR(INDEX(#REF!,MATCH(AS324,#REF!,0))*AT324,0))</f>
        <v>0</v>
      </c>
      <c r="AV324" s="7"/>
      <c r="AW324" s="74"/>
      <c r="AX324" s="99">
        <f>IF(OR(AV324="",AW324=""),0,IFERROR(INDEX(#REF!,MATCH(AV324,#REF!,0))*AW324,0))</f>
        <v>0</v>
      </c>
      <c r="AY324" s="7"/>
      <c r="AZ324" s="77"/>
      <c r="BA324" s="99">
        <f>IF(OR(AY324="",AZ324=""),0,IFERROR(INDEX(#REF!,MATCH(AY324,#REF!,0))*AZ324,0))</f>
        <v>0</v>
      </c>
      <c r="BB324" s="100">
        <f t="shared" si="43"/>
        <v>0</v>
      </c>
      <c r="BC324" s="110" t="str">
        <f t="shared" si="44"/>
        <v/>
      </c>
      <c r="BD324" s="62"/>
    </row>
    <row r="325" spans="1:56" ht="19.5" customHeight="1" x14ac:dyDescent="0.45">
      <c r="A325" s="104" t="str">
        <f t="shared" si="45"/>
        <v/>
      </c>
      <c r="B325" s="5"/>
      <c r="C325" s="109"/>
      <c r="D325" s="107"/>
      <c r="E325" s="6"/>
      <c r="F325" s="85"/>
      <c r="G325" s="85"/>
      <c r="H325" s="104" t="str">
        <f t="shared" ref="H325:H388" si="46">IF(AND(F325&lt;&gt;"",G325&lt;&gt;""),G325-F325,"")</f>
        <v/>
      </c>
      <c r="I325" s="103" t="str">
        <f>IFERROR(INDEX(#REF!,MATCH(E325,#REF!,0)),"")</f>
        <v/>
      </c>
      <c r="J325" s="6"/>
      <c r="K325" s="103" t="str">
        <f t="shared" ref="K325:K388" si="47">IF(AND(ISNUMBER(H325),ISNUMBER(I325)),H325*I325,"")</f>
        <v/>
      </c>
      <c r="L325" s="8"/>
      <c r="M325" s="102" t="str">
        <f t="shared" ref="M325:M388" si="48">IF(ISNUMBER(K325),K325*(1-L325),"")</f>
        <v/>
      </c>
      <c r="N325" s="9"/>
      <c r="O325" s="103" t="str">
        <f t="shared" ref="O325:O388" si="49">IF(ISNUMBER(M325),M325-N325,"")</f>
        <v/>
      </c>
      <c r="P325" s="6"/>
      <c r="Q325" s="7"/>
      <c r="R325" s="10"/>
      <c r="S325" s="29" t="str">
        <f t="shared" ca="1" si="41"/>
        <v/>
      </c>
      <c r="T325" s="7"/>
      <c r="U325" s="74"/>
      <c r="V325" s="101">
        <f>IF(OR(T325="",U325=""),0,IFERROR(INDEX(#REF!,MATCH(T325,#REF!,0))*U325,0))</f>
        <v>0</v>
      </c>
      <c r="W325" s="7"/>
      <c r="X325" s="74"/>
      <c r="Y325" s="101">
        <f>IF(OR(W325="",X325=""),0,IFERROR(INDEX(#REF!,MATCH(W325,#REF!,0))*X325,0))</f>
        <v>0</v>
      </c>
      <c r="Z325" s="7"/>
      <c r="AA325" s="74"/>
      <c r="AB325" s="101">
        <f>IF(OR(Z325="",AA325=""),0,IFERROR(INDEX(#REF!,MATCH(Z325,#REF!,0))*AA325,0))</f>
        <v>0</v>
      </c>
      <c r="AC325" s="7"/>
      <c r="AD325" s="74"/>
      <c r="AE325" s="101">
        <f>IF(OR(AC325="",AD325=""),0,IFERROR(INDEX(#REF!,MATCH(AC325,#REF!,0))*AD325,0))</f>
        <v>0</v>
      </c>
      <c r="AF325" s="7"/>
      <c r="AG325" s="74"/>
      <c r="AH325" s="101">
        <f>IF(OR(AF325="",AG325=""),0,IFERROR(INDEX(#REF!,MATCH(AF325,#REF!,0))*AG325,0))</f>
        <v>0</v>
      </c>
      <c r="AI325" s="7"/>
      <c r="AJ325" s="74"/>
      <c r="AK325" s="101">
        <f>IF(OR(AI325="",AJ325=""),0,IFERROR(INDEX(#REF!,MATCH(AI325,#REF!,0))*AJ325,0))</f>
        <v>0</v>
      </c>
      <c r="AL325" s="101">
        <f t="shared" si="42"/>
        <v>0</v>
      </c>
      <c r="AM325" s="7"/>
      <c r="AN325" s="72"/>
      <c r="AO325" s="99">
        <f>IF(OR(AM325="",AN325=""),0,IFERROR(INDEX(#REF!,MATCH(AM325,#REF!,0))*AN325,0))</f>
        <v>0</v>
      </c>
      <c r="AP325" s="7"/>
      <c r="AQ325" s="74"/>
      <c r="AR325" s="99">
        <f>IF(OR(AP325="",AQ325=""),0,IFERROR(INDEX(#REF!,MATCH(AP325,#REF!,0))*AQ325,0))</f>
        <v>0</v>
      </c>
      <c r="AS325" s="7"/>
      <c r="AT325" s="74"/>
      <c r="AU325" s="99">
        <f>IF(OR(AS325="",AT325=""),0,IFERROR(INDEX(#REF!,MATCH(AS325,#REF!,0))*AT325,0))</f>
        <v>0</v>
      </c>
      <c r="AV325" s="7"/>
      <c r="AW325" s="74"/>
      <c r="AX325" s="99">
        <f>IF(OR(AV325="",AW325=""),0,IFERROR(INDEX(#REF!,MATCH(AV325,#REF!,0))*AW325,0))</f>
        <v>0</v>
      </c>
      <c r="AY325" s="7"/>
      <c r="AZ325" s="77"/>
      <c r="BA325" s="99">
        <f>IF(OR(AY325="",AZ325=""),0,IFERROR(INDEX(#REF!,MATCH(AY325,#REF!,0))*AZ325,0))</f>
        <v>0</v>
      </c>
      <c r="BB325" s="100">
        <f t="shared" si="43"/>
        <v>0</v>
      </c>
      <c r="BC325" s="110" t="str">
        <f t="shared" si="44"/>
        <v/>
      </c>
      <c r="BD325" s="62"/>
    </row>
    <row r="326" spans="1:56" ht="19.5" customHeight="1" x14ac:dyDescent="0.45">
      <c r="A326" s="104" t="str">
        <f t="shared" si="45"/>
        <v/>
      </c>
      <c r="B326" s="5"/>
      <c r="C326" s="109"/>
      <c r="D326" s="107"/>
      <c r="E326" s="6"/>
      <c r="F326" s="85"/>
      <c r="G326" s="85"/>
      <c r="H326" s="104" t="str">
        <f t="shared" si="46"/>
        <v/>
      </c>
      <c r="I326" s="103" t="str">
        <f>IFERROR(INDEX(#REF!,MATCH(E326,#REF!,0)),"")</f>
        <v/>
      </c>
      <c r="J326" s="6"/>
      <c r="K326" s="103" t="str">
        <f t="shared" si="47"/>
        <v/>
      </c>
      <c r="L326" s="8"/>
      <c r="M326" s="102" t="str">
        <f t="shared" si="48"/>
        <v/>
      </c>
      <c r="N326" s="9"/>
      <c r="O326" s="103" t="str">
        <f t="shared" si="49"/>
        <v/>
      </c>
      <c r="P326" s="6"/>
      <c r="Q326" s="7"/>
      <c r="R326" s="10"/>
      <c r="S326" s="29" t="str">
        <f t="shared" ref="S326:S389" ca="1" si="50">IF(AND(B326&lt;&gt;"",F326&lt;&gt;"",F326&gt;=TODAY(),F326&lt;=TODAY()+180,P326&lt;&gt;"Cancelled"),F326+ROW()/100000,"")</f>
        <v/>
      </c>
      <c r="T326" s="7"/>
      <c r="U326" s="74"/>
      <c r="V326" s="101">
        <f>IF(OR(T326="",U326=""),0,IFERROR(INDEX(#REF!,MATCH(T326,#REF!,0))*U326,0))</f>
        <v>0</v>
      </c>
      <c r="W326" s="7"/>
      <c r="X326" s="74"/>
      <c r="Y326" s="101">
        <f>IF(OR(W326="",X326=""),0,IFERROR(INDEX(#REF!,MATCH(W326,#REF!,0))*X326,0))</f>
        <v>0</v>
      </c>
      <c r="Z326" s="7"/>
      <c r="AA326" s="74"/>
      <c r="AB326" s="101">
        <f>IF(OR(Z326="",AA326=""),0,IFERROR(INDEX(#REF!,MATCH(Z326,#REF!,0))*AA326,0))</f>
        <v>0</v>
      </c>
      <c r="AC326" s="7"/>
      <c r="AD326" s="74"/>
      <c r="AE326" s="101">
        <f>IF(OR(AC326="",AD326=""),0,IFERROR(INDEX(#REF!,MATCH(AC326,#REF!,0))*AD326,0))</f>
        <v>0</v>
      </c>
      <c r="AF326" s="7"/>
      <c r="AG326" s="74"/>
      <c r="AH326" s="101">
        <f>IF(OR(AF326="",AG326=""),0,IFERROR(INDEX(#REF!,MATCH(AF326,#REF!,0))*AG326,0))</f>
        <v>0</v>
      </c>
      <c r="AI326" s="7"/>
      <c r="AJ326" s="74"/>
      <c r="AK326" s="101">
        <f>IF(OR(AI326="",AJ326=""),0,IFERROR(INDEX(#REF!,MATCH(AI326,#REF!,0))*AJ326,0))</f>
        <v>0</v>
      </c>
      <c r="AL326" s="101">
        <f t="shared" ref="AL326:AL389" si="51">SUM(V326+Y326+AB326+AE326+AH326+AK326)</f>
        <v>0</v>
      </c>
      <c r="AM326" s="7"/>
      <c r="AN326" s="72"/>
      <c r="AO326" s="99">
        <f>IF(OR(AM326="",AN326=""),0,IFERROR(INDEX(#REF!,MATCH(AM326,#REF!,0))*AN326,0))</f>
        <v>0</v>
      </c>
      <c r="AP326" s="7"/>
      <c r="AQ326" s="74"/>
      <c r="AR326" s="99">
        <f>IF(OR(AP326="",AQ326=""),0,IFERROR(INDEX(#REF!,MATCH(AP326,#REF!,0))*AQ326,0))</f>
        <v>0</v>
      </c>
      <c r="AS326" s="7"/>
      <c r="AT326" s="74"/>
      <c r="AU326" s="99">
        <f>IF(OR(AS326="",AT326=""),0,IFERROR(INDEX(#REF!,MATCH(AS326,#REF!,0))*AT326,0))</f>
        <v>0</v>
      </c>
      <c r="AV326" s="7"/>
      <c r="AW326" s="74"/>
      <c r="AX326" s="99">
        <f>IF(OR(AV326="",AW326=""),0,IFERROR(INDEX(#REF!,MATCH(AV326,#REF!,0))*AW326,0))</f>
        <v>0</v>
      </c>
      <c r="AY326" s="7"/>
      <c r="AZ326" s="77"/>
      <c r="BA326" s="99">
        <f>IF(OR(AY326="",AZ326=""),0,IFERROR(INDEX(#REF!,MATCH(AY326,#REF!,0))*AZ326,0))</f>
        <v>0</v>
      </c>
      <c r="BB326" s="100">
        <f t="shared" ref="BB326:BB389" si="52">SUM(AO326+AR326+AU326+AX326+BA326)</f>
        <v>0</v>
      </c>
      <c r="BC326" s="110" t="str">
        <f t="shared" ref="BC326:BC389" si="53">IF(ISNUMBER(M326),M326+AL326+BB326,"")</f>
        <v/>
      </c>
      <c r="BD326" s="62"/>
    </row>
    <row r="327" spans="1:56" ht="19.5" customHeight="1" x14ac:dyDescent="0.45">
      <c r="A327" s="104" t="str">
        <f t="shared" si="45"/>
        <v/>
      </c>
      <c r="B327" s="5"/>
      <c r="C327" s="109"/>
      <c r="D327" s="107"/>
      <c r="E327" s="6"/>
      <c r="F327" s="85"/>
      <c r="G327" s="85"/>
      <c r="H327" s="104" t="str">
        <f t="shared" si="46"/>
        <v/>
      </c>
      <c r="I327" s="103" t="str">
        <f>IFERROR(INDEX(#REF!,MATCH(E327,#REF!,0)),"")</f>
        <v/>
      </c>
      <c r="J327" s="6"/>
      <c r="K327" s="103" t="str">
        <f t="shared" si="47"/>
        <v/>
      </c>
      <c r="L327" s="8"/>
      <c r="M327" s="102" t="str">
        <f t="shared" si="48"/>
        <v/>
      </c>
      <c r="N327" s="9"/>
      <c r="O327" s="103" t="str">
        <f t="shared" si="49"/>
        <v/>
      </c>
      <c r="P327" s="6"/>
      <c r="Q327" s="7"/>
      <c r="R327" s="10"/>
      <c r="S327" s="29" t="str">
        <f t="shared" ca="1" si="50"/>
        <v/>
      </c>
      <c r="T327" s="7"/>
      <c r="U327" s="74"/>
      <c r="V327" s="101">
        <f>IF(OR(T327="",U327=""),0,IFERROR(INDEX(#REF!,MATCH(T327,#REF!,0))*U327,0))</f>
        <v>0</v>
      </c>
      <c r="W327" s="7"/>
      <c r="X327" s="74"/>
      <c r="Y327" s="101">
        <f>IF(OR(W327="",X327=""),0,IFERROR(INDEX(#REF!,MATCH(W327,#REF!,0))*X327,0))</f>
        <v>0</v>
      </c>
      <c r="Z327" s="7"/>
      <c r="AA327" s="74"/>
      <c r="AB327" s="101">
        <f>IF(OR(Z327="",AA327=""),0,IFERROR(INDEX(#REF!,MATCH(Z327,#REF!,0))*AA327,0))</f>
        <v>0</v>
      </c>
      <c r="AC327" s="7"/>
      <c r="AD327" s="74"/>
      <c r="AE327" s="101">
        <f>IF(OR(AC327="",AD327=""),0,IFERROR(INDEX(#REF!,MATCH(AC327,#REF!,0))*AD327,0))</f>
        <v>0</v>
      </c>
      <c r="AF327" s="7"/>
      <c r="AG327" s="74"/>
      <c r="AH327" s="101">
        <f>IF(OR(AF327="",AG327=""),0,IFERROR(INDEX(#REF!,MATCH(AF327,#REF!,0))*AG327,0))</f>
        <v>0</v>
      </c>
      <c r="AI327" s="7"/>
      <c r="AJ327" s="74"/>
      <c r="AK327" s="101">
        <f>IF(OR(AI327="",AJ327=""),0,IFERROR(INDEX(#REF!,MATCH(AI327,#REF!,0))*AJ327,0))</f>
        <v>0</v>
      </c>
      <c r="AL327" s="101">
        <f t="shared" si="51"/>
        <v>0</v>
      </c>
      <c r="AM327" s="7"/>
      <c r="AN327" s="72"/>
      <c r="AO327" s="99">
        <f>IF(OR(AM327="",AN327=""),0,IFERROR(INDEX(#REF!,MATCH(AM327,#REF!,0))*AN327,0))</f>
        <v>0</v>
      </c>
      <c r="AP327" s="7"/>
      <c r="AQ327" s="74"/>
      <c r="AR327" s="99">
        <f>IF(OR(AP327="",AQ327=""),0,IFERROR(INDEX(#REF!,MATCH(AP327,#REF!,0))*AQ327,0))</f>
        <v>0</v>
      </c>
      <c r="AS327" s="7"/>
      <c r="AT327" s="74"/>
      <c r="AU327" s="99">
        <f>IF(OR(AS327="",AT327=""),0,IFERROR(INDEX(#REF!,MATCH(AS327,#REF!,0))*AT327,0))</f>
        <v>0</v>
      </c>
      <c r="AV327" s="7"/>
      <c r="AW327" s="74"/>
      <c r="AX327" s="99">
        <f>IF(OR(AV327="",AW327=""),0,IFERROR(INDEX(#REF!,MATCH(AV327,#REF!,0))*AW327,0))</f>
        <v>0</v>
      </c>
      <c r="AY327" s="7"/>
      <c r="AZ327" s="77"/>
      <c r="BA327" s="99">
        <f>IF(OR(AY327="",AZ327=""),0,IFERROR(INDEX(#REF!,MATCH(AY327,#REF!,0))*AZ327,0))</f>
        <v>0</v>
      </c>
      <c r="BB327" s="100">
        <f t="shared" si="52"/>
        <v>0</v>
      </c>
      <c r="BC327" s="110" t="str">
        <f t="shared" si="53"/>
        <v/>
      </c>
      <c r="BD327" s="62"/>
    </row>
    <row r="328" spans="1:56" ht="19.5" customHeight="1" x14ac:dyDescent="0.45">
      <c r="A328" s="104" t="str">
        <f t="shared" si="45"/>
        <v/>
      </c>
      <c r="B328" s="5"/>
      <c r="C328" s="109"/>
      <c r="D328" s="107"/>
      <c r="E328" s="6"/>
      <c r="F328" s="85"/>
      <c r="G328" s="85"/>
      <c r="H328" s="104" t="str">
        <f t="shared" si="46"/>
        <v/>
      </c>
      <c r="I328" s="103" t="str">
        <f>IFERROR(INDEX(#REF!,MATCH(E328,#REF!,0)),"")</f>
        <v/>
      </c>
      <c r="J328" s="6"/>
      <c r="K328" s="103" t="str">
        <f t="shared" si="47"/>
        <v/>
      </c>
      <c r="L328" s="8"/>
      <c r="M328" s="102" t="str">
        <f t="shared" si="48"/>
        <v/>
      </c>
      <c r="N328" s="9"/>
      <c r="O328" s="103" t="str">
        <f t="shared" si="49"/>
        <v/>
      </c>
      <c r="P328" s="6"/>
      <c r="Q328" s="7"/>
      <c r="R328" s="10"/>
      <c r="S328" s="29" t="str">
        <f t="shared" ca="1" si="50"/>
        <v/>
      </c>
      <c r="T328" s="7"/>
      <c r="U328" s="74"/>
      <c r="V328" s="101">
        <f>IF(OR(T328="",U328=""),0,IFERROR(INDEX(#REF!,MATCH(T328,#REF!,0))*U328,0))</f>
        <v>0</v>
      </c>
      <c r="W328" s="7"/>
      <c r="X328" s="74"/>
      <c r="Y328" s="101">
        <f>IF(OR(W328="",X328=""),0,IFERROR(INDEX(#REF!,MATCH(W328,#REF!,0))*X328,0))</f>
        <v>0</v>
      </c>
      <c r="Z328" s="7"/>
      <c r="AA328" s="74"/>
      <c r="AB328" s="101">
        <f>IF(OR(Z328="",AA328=""),0,IFERROR(INDEX(#REF!,MATCH(Z328,#REF!,0))*AA328,0))</f>
        <v>0</v>
      </c>
      <c r="AC328" s="7"/>
      <c r="AD328" s="74"/>
      <c r="AE328" s="101">
        <f>IF(OR(AC328="",AD328=""),0,IFERROR(INDEX(#REF!,MATCH(AC328,#REF!,0))*AD328,0))</f>
        <v>0</v>
      </c>
      <c r="AF328" s="7"/>
      <c r="AG328" s="74"/>
      <c r="AH328" s="101">
        <f>IF(OR(AF328="",AG328=""),0,IFERROR(INDEX(#REF!,MATCH(AF328,#REF!,0))*AG328,0))</f>
        <v>0</v>
      </c>
      <c r="AI328" s="7"/>
      <c r="AJ328" s="74"/>
      <c r="AK328" s="101">
        <f>IF(OR(AI328="",AJ328=""),0,IFERROR(INDEX(#REF!,MATCH(AI328,#REF!,0))*AJ328,0))</f>
        <v>0</v>
      </c>
      <c r="AL328" s="101">
        <f t="shared" si="51"/>
        <v>0</v>
      </c>
      <c r="AM328" s="7"/>
      <c r="AN328" s="72"/>
      <c r="AO328" s="99">
        <f>IF(OR(AM328="",AN328=""),0,IFERROR(INDEX(#REF!,MATCH(AM328,#REF!,0))*AN328,0))</f>
        <v>0</v>
      </c>
      <c r="AP328" s="7"/>
      <c r="AQ328" s="74"/>
      <c r="AR328" s="99">
        <f>IF(OR(AP328="",AQ328=""),0,IFERROR(INDEX(#REF!,MATCH(AP328,#REF!,0))*AQ328,0))</f>
        <v>0</v>
      </c>
      <c r="AS328" s="7"/>
      <c r="AT328" s="74"/>
      <c r="AU328" s="99">
        <f>IF(OR(AS328="",AT328=""),0,IFERROR(INDEX(#REF!,MATCH(AS328,#REF!,0))*AT328,0))</f>
        <v>0</v>
      </c>
      <c r="AV328" s="7"/>
      <c r="AW328" s="74"/>
      <c r="AX328" s="99">
        <f>IF(OR(AV328="",AW328=""),0,IFERROR(INDEX(#REF!,MATCH(AV328,#REF!,0))*AW328,0))</f>
        <v>0</v>
      </c>
      <c r="AY328" s="7"/>
      <c r="AZ328" s="77"/>
      <c r="BA328" s="99">
        <f>IF(OR(AY328="",AZ328=""),0,IFERROR(INDEX(#REF!,MATCH(AY328,#REF!,0))*AZ328,0))</f>
        <v>0</v>
      </c>
      <c r="BB328" s="100">
        <f t="shared" si="52"/>
        <v>0</v>
      </c>
      <c r="BC328" s="110" t="str">
        <f t="shared" si="53"/>
        <v/>
      </c>
      <c r="BD328" s="62"/>
    </row>
    <row r="329" spans="1:56" ht="19.5" customHeight="1" x14ac:dyDescent="0.45">
      <c r="A329" s="104" t="str">
        <f t="shared" si="45"/>
        <v/>
      </c>
      <c r="B329" s="5"/>
      <c r="C329" s="109"/>
      <c r="D329" s="107"/>
      <c r="E329" s="6"/>
      <c r="F329" s="85"/>
      <c r="G329" s="85"/>
      <c r="H329" s="104" t="str">
        <f t="shared" si="46"/>
        <v/>
      </c>
      <c r="I329" s="103" t="str">
        <f>IFERROR(INDEX(#REF!,MATCH(E329,#REF!,0)),"")</f>
        <v/>
      </c>
      <c r="J329" s="6"/>
      <c r="K329" s="103" t="str">
        <f t="shared" si="47"/>
        <v/>
      </c>
      <c r="L329" s="8"/>
      <c r="M329" s="102" t="str">
        <f t="shared" si="48"/>
        <v/>
      </c>
      <c r="N329" s="9"/>
      <c r="O329" s="103" t="str">
        <f t="shared" si="49"/>
        <v/>
      </c>
      <c r="P329" s="6"/>
      <c r="Q329" s="7"/>
      <c r="R329" s="10"/>
      <c r="S329" s="29" t="str">
        <f t="shared" ca="1" si="50"/>
        <v/>
      </c>
      <c r="T329" s="7"/>
      <c r="U329" s="74"/>
      <c r="V329" s="101">
        <f>IF(OR(T329="",U329=""),0,IFERROR(INDEX(#REF!,MATCH(T329,#REF!,0))*U329,0))</f>
        <v>0</v>
      </c>
      <c r="W329" s="7"/>
      <c r="X329" s="74"/>
      <c r="Y329" s="101">
        <f>IF(OR(W329="",X329=""),0,IFERROR(INDEX(#REF!,MATCH(W329,#REF!,0))*X329,0))</f>
        <v>0</v>
      </c>
      <c r="Z329" s="7"/>
      <c r="AA329" s="74"/>
      <c r="AB329" s="101">
        <f>IF(OR(Z329="",AA329=""),0,IFERROR(INDEX(#REF!,MATCH(Z329,#REF!,0))*AA329,0))</f>
        <v>0</v>
      </c>
      <c r="AC329" s="7"/>
      <c r="AD329" s="74"/>
      <c r="AE329" s="101">
        <f>IF(OR(AC329="",AD329=""),0,IFERROR(INDEX(#REF!,MATCH(AC329,#REF!,0))*AD329,0))</f>
        <v>0</v>
      </c>
      <c r="AF329" s="7"/>
      <c r="AG329" s="74"/>
      <c r="AH329" s="101">
        <f>IF(OR(AF329="",AG329=""),0,IFERROR(INDEX(#REF!,MATCH(AF329,#REF!,0))*AG329,0))</f>
        <v>0</v>
      </c>
      <c r="AI329" s="7"/>
      <c r="AJ329" s="74"/>
      <c r="AK329" s="101">
        <f>IF(OR(AI329="",AJ329=""),0,IFERROR(INDEX(#REF!,MATCH(AI329,#REF!,0))*AJ329,0))</f>
        <v>0</v>
      </c>
      <c r="AL329" s="101">
        <f t="shared" si="51"/>
        <v>0</v>
      </c>
      <c r="AM329" s="7"/>
      <c r="AN329" s="72"/>
      <c r="AO329" s="99">
        <f>IF(OR(AM329="",AN329=""),0,IFERROR(INDEX(#REF!,MATCH(AM329,#REF!,0))*AN329,0))</f>
        <v>0</v>
      </c>
      <c r="AP329" s="7"/>
      <c r="AQ329" s="74"/>
      <c r="AR329" s="99">
        <f>IF(OR(AP329="",AQ329=""),0,IFERROR(INDEX(#REF!,MATCH(AP329,#REF!,0))*AQ329,0))</f>
        <v>0</v>
      </c>
      <c r="AS329" s="7"/>
      <c r="AT329" s="74"/>
      <c r="AU329" s="99">
        <f>IF(OR(AS329="",AT329=""),0,IFERROR(INDEX(#REF!,MATCH(AS329,#REF!,0))*AT329,0))</f>
        <v>0</v>
      </c>
      <c r="AV329" s="7"/>
      <c r="AW329" s="74"/>
      <c r="AX329" s="99">
        <f>IF(OR(AV329="",AW329=""),0,IFERROR(INDEX(#REF!,MATCH(AV329,#REF!,0))*AW329,0))</f>
        <v>0</v>
      </c>
      <c r="AY329" s="7"/>
      <c r="AZ329" s="77"/>
      <c r="BA329" s="99">
        <f>IF(OR(AY329="",AZ329=""),0,IFERROR(INDEX(#REF!,MATCH(AY329,#REF!,0))*AZ329,0))</f>
        <v>0</v>
      </c>
      <c r="BB329" s="100">
        <f t="shared" si="52"/>
        <v>0</v>
      </c>
      <c r="BC329" s="110" t="str">
        <f t="shared" si="53"/>
        <v/>
      </c>
      <c r="BD329" s="62"/>
    </row>
    <row r="330" spans="1:56" ht="19.5" customHeight="1" x14ac:dyDescent="0.45">
      <c r="A330" s="104" t="str">
        <f t="shared" si="45"/>
        <v/>
      </c>
      <c r="B330" s="5"/>
      <c r="C330" s="109"/>
      <c r="D330" s="107"/>
      <c r="E330" s="6"/>
      <c r="F330" s="85"/>
      <c r="G330" s="85"/>
      <c r="H330" s="104" t="str">
        <f t="shared" si="46"/>
        <v/>
      </c>
      <c r="I330" s="103" t="str">
        <f>IFERROR(INDEX(#REF!,MATCH(E330,#REF!,0)),"")</f>
        <v/>
      </c>
      <c r="J330" s="6"/>
      <c r="K330" s="103" t="str">
        <f t="shared" si="47"/>
        <v/>
      </c>
      <c r="L330" s="8"/>
      <c r="M330" s="102" t="str">
        <f t="shared" si="48"/>
        <v/>
      </c>
      <c r="N330" s="9"/>
      <c r="O330" s="103" t="str">
        <f t="shared" si="49"/>
        <v/>
      </c>
      <c r="P330" s="6"/>
      <c r="Q330" s="7"/>
      <c r="R330" s="10"/>
      <c r="S330" s="29" t="str">
        <f t="shared" ca="1" si="50"/>
        <v/>
      </c>
      <c r="T330" s="7"/>
      <c r="U330" s="74"/>
      <c r="V330" s="101">
        <f>IF(OR(T330="",U330=""),0,IFERROR(INDEX(#REF!,MATCH(T330,#REF!,0))*U330,0))</f>
        <v>0</v>
      </c>
      <c r="W330" s="7"/>
      <c r="X330" s="74"/>
      <c r="Y330" s="101">
        <f>IF(OR(W330="",X330=""),0,IFERROR(INDEX(#REF!,MATCH(W330,#REF!,0))*X330,0))</f>
        <v>0</v>
      </c>
      <c r="Z330" s="7"/>
      <c r="AA330" s="74"/>
      <c r="AB330" s="101">
        <f>IF(OR(Z330="",AA330=""),0,IFERROR(INDEX(#REF!,MATCH(Z330,#REF!,0))*AA330,0))</f>
        <v>0</v>
      </c>
      <c r="AC330" s="7"/>
      <c r="AD330" s="74"/>
      <c r="AE330" s="101">
        <f>IF(OR(AC330="",AD330=""),0,IFERROR(INDEX(#REF!,MATCH(AC330,#REF!,0))*AD330,0))</f>
        <v>0</v>
      </c>
      <c r="AF330" s="7"/>
      <c r="AG330" s="74"/>
      <c r="AH330" s="101">
        <f>IF(OR(AF330="",AG330=""),0,IFERROR(INDEX(#REF!,MATCH(AF330,#REF!,0))*AG330,0))</f>
        <v>0</v>
      </c>
      <c r="AI330" s="7"/>
      <c r="AJ330" s="74"/>
      <c r="AK330" s="101">
        <f>IF(OR(AI330="",AJ330=""),0,IFERROR(INDEX(#REF!,MATCH(AI330,#REF!,0))*AJ330,0))</f>
        <v>0</v>
      </c>
      <c r="AL330" s="101">
        <f t="shared" si="51"/>
        <v>0</v>
      </c>
      <c r="AM330" s="7"/>
      <c r="AN330" s="72"/>
      <c r="AO330" s="99">
        <f>IF(OR(AM330="",AN330=""),0,IFERROR(INDEX(#REF!,MATCH(AM330,#REF!,0))*AN330,0))</f>
        <v>0</v>
      </c>
      <c r="AP330" s="7"/>
      <c r="AQ330" s="74"/>
      <c r="AR330" s="99">
        <f>IF(OR(AP330="",AQ330=""),0,IFERROR(INDEX(#REF!,MATCH(AP330,#REF!,0))*AQ330,0))</f>
        <v>0</v>
      </c>
      <c r="AS330" s="7"/>
      <c r="AT330" s="74"/>
      <c r="AU330" s="99">
        <f>IF(OR(AS330="",AT330=""),0,IFERROR(INDEX(#REF!,MATCH(AS330,#REF!,0))*AT330,0))</f>
        <v>0</v>
      </c>
      <c r="AV330" s="7"/>
      <c r="AW330" s="74"/>
      <c r="AX330" s="99">
        <f>IF(OR(AV330="",AW330=""),0,IFERROR(INDEX(#REF!,MATCH(AV330,#REF!,0))*AW330,0))</f>
        <v>0</v>
      </c>
      <c r="AY330" s="7"/>
      <c r="AZ330" s="77"/>
      <c r="BA330" s="99">
        <f>IF(OR(AY330="",AZ330=""),0,IFERROR(INDEX(#REF!,MATCH(AY330,#REF!,0))*AZ330,0))</f>
        <v>0</v>
      </c>
      <c r="BB330" s="100">
        <f t="shared" si="52"/>
        <v>0</v>
      </c>
      <c r="BC330" s="110" t="str">
        <f t="shared" si="53"/>
        <v/>
      </c>
      <c r="BD330" s="62"/>
    </row>
    <row r="331" spans="1:56" ht="19.5" customHeight="1" x14ac:dyDescent="0.45">
      <c r="A331" s="104" t="str">
        <f t="shared" si="45"/>
        <v/>
      </c>
      <c r="B331" s="5"/>
      <c r="C331" s="109"/>
      <c r="D331" s="107"/>
      <c r="E331" s="6"/>
      <c r="F331" s="85"/>
      <c r="G331" s="85"/>
      <c r="H331" s="104" t="str">
        <f t="shared" si="46"/>
        <v/>
      </c>
      <c r="I331" s="103" t="str">
        <f>IFERROR(INDEX(#REF!,MATCH(E331,#REF!,0)),"")</f>
        <v/>
      </c>
      <c r="J331" s="6"/>
      <c r="K331" s="103" t="str">
        <f t="shared" si="47"/>
        <v/>
      </c>
      <c r="L331" s="8"/>
      <c r="M331" s="102" t="str">
        <f t="shared" si="48"/>
        <v/>
      </c>
      <c r="N331" s="9"/>
      <c r="O331" s="103" t="str">
        <f t="shared" si="49"/>
        <v/>
      </c>
      <c r="P331" s="6"/>
      <c r="Q331" s="7"/>
      <c r="R331" s="10"/>
      <c r="S331" s="29" t="str">
        <f t="shared" ca="1" si="50"/>
        <v/>
      </c>
      <c r="T331" s="7"/>
      <c r="U331" s="74"/>
      <c r="V331" s="101">
        <f>IF(OR(T331="",U331=""),0,IFERROR(INDEX(#REF!,MATCH(T331,#REF!,0))*U331,0))</f>
        <v>0</v>
      </c>
      <c r="W331" s="7"/>
      <c r="X331" s="74"/>
      <c r="Y331" s="101">
        <f>IF(OR(W331="",X331=""),0,IFERROR(INDEX(#REF!,MATCH(W331,#REF!,0))*X331,0))</f>
        <v>0</v>
      </c>
      <c r="Z331" s="7"/>
      <c r="AA331" s="74"/>
      <c r="AB331" s="101">
        <f>IF(OR(Z331="",AA331=""),0,IFERROR(INDEX(#REF!,MATCH(Z331,#REF!,0))*AA331,0))</f>
        <v>0</v>
      </c>
      <c r="AC331" s="7"/>
      <c r="AD331" s="74"/>
      <c r="AE331" s="101">
        <f>IF(OR(AC331="",AD331=""),0,IFERROR(INDEX(#REF!,MATCH(AC331,#REF!,0))*AD331,0))</f>
        <v>0</v>
      </c>
      <c r="AF331" s="7"/>
      <c r="AG331" s="74"/>
      <c r="AH331" s="101">
        <f>IF(OR(AF331="",AG331=""),0,IFERROR(INDEX(#REF!,MATCH(AF331,#REF!,0))*AG331,0))</f>
        <v>0</v>
      </c>
      <c r="AI331" s="7"/>
      <c r="AJ331" s="74"/>
      <c r="AK331" s="101">
        <f>IF(OR(AI331="",AJ331=""),0,IFERROR(INDEX(#REF!,MATCH(AI331,#REF!,0))*AJ331,0))</f>
        <v>0</v>
      </c>
      <c r="AL331" s="101">
        <f t="shared" si="51"/>
        <v>0</v>
      </c>
      <c r="AM331" s="7"/>
      <c r="AN331" s="72"/>
      <c r="AO331" s="99">
        <f>IF(OR(AM331="",AN331=""),0,IFERROR(INDEX(#REF!,MATCH(AM331,#REF!,0))*AN331,0))</f>
        <v>0</v>
      </c>
      <c r="AP331" s="7"/>
      <c r="AQ331" s="74"/>
      <c r="AR331" s="99">
        <f>IF(OR(AP331="",AQ331=""),0,IFERROR(INDEX(#REF!,MATCH(AP331,#REF!,0))*AQ331,0))</f>
        <v>0</v>
      </c>
      <c r="AS331" s="7"/>
      <c r="AT331" s="74"/>
      <c r="AU331" s="99">
        <f>IF(OR(AS331="",AT331=""),0,IFERROR(INDEX(#REF!,MATCH(AS331,#REF!,0))*AT331,0))</f>
        <v>0</v>
      </c>
      <c r="AV331" s="7"/>
      <c r="AW331" s="74"/>
      <c r="AX331" s="99">
        <f>IF(OR(AV331="",AW331=""),0,IFERROR(INDEX(#REF!,MATCH(AV331,#REF!,0))*AW331,0))</f>
        <v>0</v>
      </c>
      <c r="AY331" s="7"/>
      <c r="AZ331" s="77"/>
      <c r="BA331" s="99">
        <f>IF(OR(AY331="",AZ331=""),0,IFERROR(INDEX(#REF!,MATCH(AY331,#REF!,0))*AZ331,0))</f>
        <v>0</v>
      </c>
      <c r="BB331" s="100">
        <f t="shared" si="52"/>
        <v>0</v>
      </c>
      <c r="BC331" s="110" t="str">
        <f t="shared" si="53"/>
        <v/>
      </c>
      <c r="BD331" s="62"/>
    </row>
    <row r="332" spans="1:56" ht="19.5" customHeight="1" x14ac:dyDescent="0.45">
      <c r="A332" s="104" t="str">
        <f t="shared" si="45"/>
        <v/>
      </c>
      <c r="B332" s="5"/>
      <c r="C332" s="109"/>
      <c r="D332" s="107"/>
      <c r="E332" s="6"/>
      <c r="F332" s="85"/>
      <c r="G332" s="85"/>
      <c r="H332" s="104" t="str">
        <f t="shared" si="46"/>
        <v/>
      </c>
      <c r="I332" s="103" t="str">
        <f>IFERROR(INDEX(#REF!,MATCH(E332,#REF!,0)),"")</f>
        <v/>
      </c>
      <c r="J332" s="6"/>
      <c r="K332" s="103" t="str">
        <f t="shared" si="47"/>
        <v/>
      </c>
      <c r="L332" s="8"/>
      <c r="M332" s="102" t="str">
        <f t="shared" si="48"/>
        <v/>
      </c>
      <c r="N332" s="9"/>
      <c r="O332" s="103" t="str">
        <f t="shared" si="49"/>
        <v/>
      </c>
      <c r="P332" s="6"/>
      <c r="Q332" s="7"/>
      <c r="R332" s="10"/>
      <c r="S332" s="29" t="str">
        <f t="shared" ca="1" si="50"/>
        <v/>
      </c>
      <c r="T332" s="7"/>
      <c r="U332" s="74"/>
      <c r="V332" s="101">
        <f>IF(OR(T332="",U332=""),0,IFERROR(INDEX(#REF!,MATCH(T332,#REF!,0))*U332,0))</f>
        <v>0</v>
      </c>
      <c r="W332" s="7"/>
      <c r="X332" s="74"/>
      <c r="Y332" s="101">
        <f>IF(OR(W332="",X332=""),0,IFERROR(INDEX(#REF!,MATCH(W332,#REF!,0))*X332,0))</f>
        <v>0</v>
      </c>
      <c r="Z332" s="7"/>
      <c r="AA332" s="74"/>
      <c r="AB332" s="101">
        <f>IF(OR(Z332="",AA332=""),0,IFERROR(INDEX(#REF!,MATCH(Z332,#REF!,0))*AA332,0))</f>
        <v>0</v>
      </c>
      <c r="AC332" s="7"/>
      <c r="AD332" s="74"/>
      <c r="AE332" s="101">
        <f>IF(OR(AC332="",AD332=""),0,IFERROR(INDEX(#REF!,MATCH(AC332,#REF!,0))*AD332,0))</f>
        <v>0</v>
      </c>
      <c r="AF332" s="7"/>
      <c r="AG332" s="74"/>
      <c r="AH332" s="101">
        <f>IF(OR(AF332="",AG332=""),0,IFERROR(INDEX(#REF!,MATCH(AF332,#REF!,0))*AG332,0))</f>
        <v>0</v>
      </c>
      <c r="AI332" s="7"/>
      <c r="AJ332" s="74"/>
      <c r="AK332" s="101">
        <f>IF(OR(AI332="",AJ332=""),0,IFERROR(INDEX(#REF!,MATCH(AI332,#REF!,0))*AJ332,0))</f>
        <v>0</v>
      </c>
      <c r="AL332" s="101">
        <f t="shared" si="51"/>
        <v>0</v>
      </c>
      <c r="AM332" s="7"/>
      <c r="AN332" s="72"/>
      <c r="AO332" s="99">
        <f>IF(OR(AM332="",AN332=""),0,IFERROR(INDEX(#REF!,MATCH(AM332,#REF!,0))*AN332,0))</f>
        <v>0</v>
      </c>
      <c r="AP332" s="7"/>
      <c r="AQ332" s="74"/>
      <c r="AR332" s="99">
        <f>IF(OR(AP332="",AQ332=""),0,IFERROR(INDEX(#REF!,MATCH(AP332,#REF!,0))*AQ332,0))</f>
        <v>0</v>
      </c>
      <c r="AS332" s="7"/>
      <c r="AT332" s="74"/>
      <c r="AU332" s="99">
        <f>IF(OR(AS332="",AT332=""),0,IFERROR(INDEX(#REF!,MATCH(AS332,#REF!,0))*AT332,0))</f>
        <v>0</v>
      </c>
      <c r="AV332" s="7"/>
      <c r="AW332" s="74"/>
      <c r="AX332" s="99">
        <f>IF(OR(AV332="",AW332=""),0,IFERROR(INDEX(#REF!,MATCH(AV332,#REF!,0))*AW332,0))</f>
        <v>0</v>
      </c>
      <c r="AY332" s="7"/>
      <c r="AZ332" s="77"/>
      <c r="BA332" s="99">
        <f>IF(OR(AY332="",AZ332=""),0,IFERROR(INDEX(#REF!,MATCH(AY332,#REF!,0))*AZ332,0))</f>
        <v>0</v>
      </c>
      <c r="BB332" s="100">
        <f t="shared" si="52"/>
        <v>0</v>
      </c>
      <c r="BC332" s="110" t="str">
        <f t="shared" si="53"/>
        <v/>
      </c>
      <c r="BD332" s="62"/>
    </row>
    <row r="333" spans="1:56" ht="19.5" customHeight="1" x14ac:dyDescent="0.45">
      <c r="A333" s="104" t="str">
        <f t="shared" si="45"/>
        <v/>
      </c>
      <c r="B333" s="5"/>
      <c r="C333" s="109"/>
      <c r="D333" s="107"/>
      <c r="E333" s="6"/>
      <c r="F333" s="85"/>
      <c r="G333" s="85"/>
      <c r="H333" s="104" t="str">
        <f t="shared" si="46"/>
        <v/>
      </c>
      <c r="I333" s="103" t="str">
        <f>IFERROR(INDEX(#REF!,MATCH(E333,#REF!,0)),"")</f>
        <v/>
      </c>
      <c r="J333" s="6"/>
      <c r="K333" s="103" t="str">
        <f t="shared" si="47"/>
        <v/>
      </c>
      <c r="L333" s="8"/>
      <c r="M333" s="102" t="str">
        <f t="shared" si="48"/>
        <v/>
      </c>
      <c r="N333" s="9"/>
      <c r="O333" s="103" t="str">
        <f t="shared" si="49"/>
        <v/>
      </c>
      <c r="P333" s="6"/>
      <c r="Q333" s="7"/>
      <c r="R333" s="10"/>
      <c r="S333" s="29" t="str">
        <f t="shared" ca="1" si="50"/>
        <v/>
      </c>
      <c r="T333" s="7"/>
      <c r="U333" s="74"/>
      <c r="V333" s="101">
        <f>IF(OR(T333="",U333=""),0,IFERROR(INDEX(#REF!,MATCH(T333,#REF!,0))*U333,0))</f>
        <v>0</v>
      </c>
      <c r="W333" s="7"/>
      <c r="X333" s="74"/>
      <c r="Y333" s="101">
        <f>IF(OR(W333="",X333=""),0,IFERROR(INDEX(#REF!,MATCH(W333,#REF!,0))*X333,0))</f>
        <v>0</v>
      </c>
      <c r="Z333" s="7"/>
      <c r="AA333" s="74"/>
      <c r="AB333" s="101">
        <f>IF(OR(Z333="",AA333=""),0,IFERROR(INDEX(#REF!,MATCH(Z333,#REF!,0))*AA333,0))</f>
        <v>0</v>
      </c>
      <c r="AC333" s="7"/>
      <c r="AD333" s="74"/>
      <c r="AE333" s="101">
        <f>IF(OR(AC333="",AD333=""),0,IFERROR(INDEX(#REF!,MATCH(AC333,#REF!,0))*AD333,0))</f>
        <v>0</v>
      </c>
      <c r="AF333" s="7"/>
      <c r="AG333" s="74"/>
      <c r="AH333" s="101">
        <f>IF(OR(AF333="",AG333=""),0,IFERROR(INDEX(#REF!,MATCH(AF333,#REF!,0))*AG333,0))</f>
        <v>0</v>
      </c>
      <c r="AI333" s="7"/>
      <c r="AJ333" s="74"/>
      <c r="AK333" s="101">
        <f>IF(OR(AI333="",AJ333=""),0,IFERROR(INDEX(#REF!,MATCH(AI333,#REF!,0))*AJ333,0))</f>
        <v>0</v>
      </c>
      <c r="AL333" s="101">
        <f t="shared" si="51"/>
        <v>0</v>
      </c>
      <c r="AM333" s="7"/>
      <c r="AN333" s="72"/>
      <c r="AO333" s="99">
        <f>IF(OR(AM333="",AN333=""),0,IFERROR(INDEX(#REF!,MATCH(AM333,#REF!,0))*AN333,0))</f>
        <v>0</v>
      </c>
      <c r="AP333" s="7"/>
      <c r="AQ333" s="74"/>
      <c r="AR333" s="99">
        <f>IF(OR(AP333="",AQ333=""),0,IFERROR(INDEX(#REF!,MATCH(AP333,#REF!,0))*AQ333,0))</f>
        <v>0</v>
      </c>
      <c r="AS333" s="7"/>
      <c r="AT333" s="74"/>
      <c r="AU333" s="99">
        <f>IF(OR(AS333="",AT333=""),0,IFERROR(INDEX(#REF!,MATCH(AS333,#REF!,0))*AT333,0))</f>
        <v>0</v>
      </c>
      <c r="AV333" s="7"/>
      <c r="AW333" s="74"/>
      <c r="AX333" s="99">
        <f>IF(OR(AV333="",AW333=""),0,IFERROR(INDEX(#REF!,MATCH(AV333,#REF!,0))*AW333,0))</f>
        <v>0</v>
      </c>
      <c r="AY333" s="7"/>
      <c r="AZ333" s="77"/>
      <c r="BA333" s="99">
        <f>IF(OR(AY333="",AZ333=""),0,IFERROR(INDEX(#REF!,MATCH(AY333,#REF!,0))*AZ333,0))</f>
        <v>0</v>
      </c>
      <c r="BB333" s="100">
        <f t="shared" si="52"/>
        <v>0</v>
      </c>
      <c r="BC333" s="110" t="str">
        <f t="shared" si="53"/>
        <v/>
      </c>
      <c r="BD333" s="62"/>
    </row>
    <row r="334" spans="1:56" ht="19.5" customHeight="1" x14ac:dyDescent="0.45">
      <c r="A334" s="104" t="str">
        <f t="shared" si="45"/>
        <v/>
      </c>
      <c r="B334" s="5"/>
      <c r="C334" s="109"/>
      <c r="D334" s="107"/>
      <c r="E334" s="6"/>
      <c r="F334" s="85"/>
      <c r="G334" s="85"/>
      <c r="H334" s="104" t="str">
        <f t="shared" si="46"/>
        <v/>
      </c>
      <c r="I334" s="103" t="str">
        <f>IFERROR(INDEX(#REF!,MATCH(E334,#REF!,0)),"")</f>
        <v/>
      </c>
      <c r="J334" s="6"/>
      <c r="K334" s="103" t="str">
        <f t="shared" si="47"/>
        <v/>
      </c>
      <c r="L334" s="8"/>
      <c r="M334" s="102" t="str">
        <f t="shared" si="48"/>
        <v/>
      </c>
      <c r="N334" s="9"/>
      <c r="O334" s="103" t="str">
        <f t="shared" si="49"/>
        <v/>
      </c>
      <c r="P334" s="6"/>
      <c r="Q334" s="7"/>
      <c r="R334" s="10"/>
      <c r="S334" s="29" t="str">
        <f t="shared" ca="1" si="50"/>
        <v/>
      </c>
      <c r="T334" s="7"/>
      <c r="U334" s="74"/>
      <c r="V334" s="101">
        <f>IF(OR(T334="",U334=""),0,IFERROR(INDEX(#REF!,MATCH(T334,#REF!,0))*U334,0))</f>
        <v>0</v>
      </c>
      <c r="W334" s="7"/>
      <c r="X334" s="74"/>
      <c r="Y334" s="101">
        <f>IF(OR(W334="",X334=""),0,IFERROR(INDEX(#REF!,MATCH(W334,#REF!,0))*X334,0))</f>
        <v>0</v>
      </c>
      <c r="Z334" s="7"/>
      <c r="AA334" s="74"/>
      <c r="AB334" s="101">
        <f>IF(OR(Z334="",AA334=""),0,IFERROR(INDEX(#REF!,MATCH(Z334,#REF!,0))*AA334,0))</f>
        <v>0</v>
      </c>
      <c r="AC334" s="7"/>
      <c r="AD334" s="74"/>
      <c r="AE334" s="101">
        <f>IF(OR(AC334="",AD334=""),0,IFERROR(INDEX(#REF!,MATCH(AC334,#REF!,0))*AD334,0))</f>
        <v>0</v>
      </c>
      <c r="AF334" s="7"/>
      <c r="AG334" s="74"/>
      <c r="AH334" s="101">
        <f>IF(OR(AF334="",AG334=""),0,IFERROR(INDEX(#REF!,MATCH(AF334,#REF!,0))*AG334,0))</f>
        <v>0</v>
      </c>
      <c r="AI334" s="7"/>
      <c r="AJ334" s="74"/>
      <c r="AK334" s="101">
        <f>IF(OR(AI334="",AJ334=""),0,IFERROR(INDEX(#REF!,MATCH(AI334,#REF!,0))*AJ334,0))</f>
        <v>0</v>
      </c>
      <c r="AL334" s="101">
        <f t="shared" si="51"/>
        <v>0</v>
      </c>
      <c r="AM334" s="7"/>
      <c r="AN334" s="72"/>
      <c r="AO334" s="99">
        <f>IF(OR(AM334="",AN334=""),0,IFERROR(INDEX(#REF!,MATCH(AM334,#REF!,0))*AN334,0))</f>
        <v>0</v>
      </c>
      <c r="AP334" s="7"/>
      <c r="AQ334" s="74"/>
      <c r="AR334" s="99">
        <f>IF(OR(AP334="",AQ334=""),0,IFERROR(INDEX(#REF!,MATCH(AP334,#REF!,0))*AQ334,0))</f>
        <v>0</v>
      </c>
      <c r="AS334" s="7"/>
      <c r="AT334" s="74"/>
      <c r="AU334" s="99">
        <f>IF(OR(AS334="",AT334=""),0,IFERROR(INDEX(#REF!,MATCH(AS334,#REF!,0))*AT334,0))</f>
        <v>0</v>
      </c>
      <c r="AV334" s="7"/>
      <c r="AW334" s="74"/>
      <c r="AX334" s="99">
        <f>IF(OR(AV334="",AW334=""),0,IFERROR(INDEX(#REF!,MATCH(AV334,#REF!,0))*AW334,0))</f>
        <v>0</v>
      </c>
      <c r="AY334" s="7"/>
      <c r="AZ334" s="77"/>
      <c r="BA334" s="99">
        <f>IF(OR(AY334="",AZ334=""),0,IFERROR(INDEX(#REF!,MATCH(AY334,#REF!,0))*AZ334,0))</f>
        <v>0</v>
      </c>
      <c r="BB334" s="100">
        <f t="shared" si="52"/>
        <v>0</v>
      </c>
      <c r="BC334" s="110" t="str">
        <f t="shared" si="53"/>
        <v/>
      </c>
      <c r="BD334" s="62"/>
    </row>
    <row r="335" spans="1:56" ht="19.5" customHeight="1" x14ac:dyDescent="0.45">
      <c r="A335" s="104" t="str">
        <f t="shared" si="45"/>
        <v/>
      </c>
      <c r="B335" s="5"/>
      <c r="C335" s="109"/>
      <c r="D335" s="107"/>
      <c r="E335" s="6"/>
      <c r="F335" s="85"/>
      <c r="G335" s="85"/>
      <c r="H335" s="104" t="str">
        <f t="shared" si="46"/>
        <v/>
      </c>
      <c r="I335" s="103" t="str">
        <f>IFERROR(INDEX(#REF!,MATCH(E335,#REF!,0)),"")</f>
        <v/>
      </c>
      <c r="J335" s="6"/>
      <c r="K335" s="103" t="str">
        <f t="shared" si="47"/>
        <v/>
      </c>
      <c r="L335" s="8"/>
      <c r="M335" s="102" t="str">
        <f t="shared" si="48"/>
        <v/>
      </c>
      <c r="N335" s="9"/>
      <c r="O335" s="103" t="str">
        <f t="shared" si="49"/>
        <v/>
      </c>
      <c r="P335" s="6"/>
      <c r="Q335" s="7"/>
      <c r="R335" s="10"/>
      <c r="S335" s="29" t="str">
        <f t="shared" ca="1" si="50"/>
        <v/>
      </c>
      <c r="T335" s="7"/>
      <c r="U335" s="74"/>
      <c r="V335" s="101">
        <f>IF(OR(T335="",U335=""),0,IFERROR(INDEX(#REF!,MATCH(T335,#REF!,0))*U335,0))</f>
        <v>0</v>
      </c>
      <c r="W335" s="7"/>
      <c r="X335" s="74"/>
      <c r="Y335" s="101">
        <f>IF(OR(W335="",X335=""),0,IFERROR(INDEX(#REF!,MATCH(W335,#REF!,0))*X335,0))</f>
        <v>0</v>
      </c>
      <c r="Z335" s="7"/>
      <c r="AA335" s="74"/>
      <c r="AB335" s="101">
        <f>IF(OR(Z335="",AA335=""),0,IFERROR(INDEX(#REF!,MATCH(Z335,#REF!,0))*AA335,0))</f>
        <v>0</v>
      </c>
      <c r="AC335" s="7"/>
      <c r="AD335" s="74"/>
      <c r="AE335" s="101">
        <f>IF(OR(AC335="",AD335=""),0,IFERROR(INDEX(#REF!,MATCH(AC335,#REF!,0))*AD335,0))</f>
        <v>0</v>
      </c>
      <c r="AF335" s="7"/>
      <c r="AG335" s="74"/>
      <c r="AH335" s="101">
        <f>IF(OR(AF335="",AG335=""),0,IFERROR(INDEX(#REF!,MATCH(AF335,#REF!,0))*AG335,0))</f>
        <v>0</v>
      </c>
      <c r="AI335" s="7"/>
      <c r="AJ335" s="74"/>
      <c r="AK335" s="101">
        <f>IF(OR(AI335="",AJ335=""),0,IFERROR(INDEX(#REF!,MATCH(AI335,#REF!,0))*AJ335,0))</f>
        <v>0</v>
      </c>
      <c r="AL335" s="101">
        <f t="shared" si="51"/>
        <v>0</v>
      </c>
      <c r="AM335" s="7"/>
      <c r="AN335" s="72"/>
      <c r="AO335" s="99">
        <f>IF(OR(AM335="",AN335=""),0,IFERROR(INDEX(#REF!,MATCH(AM335,#REF!,0))*AN335,0))</f>
        <v>0</v>
      </c>
      <c r="AP335" s="7"/>
      <c r="AQ335" s="74"/>
      <c r="AR335" s="99">
        <f>IF(OR(AP335="",AQ335=""),0,IFERROR(INDEX(#REF!,MATCH(AP335,#REF!,0))*AQ335,0))</f>
        <v>0</v>
      </c>
      <c r="AS335" s="7"/>
      <c r="AT335" s="74"/>
      <c r="AU335" s="99">
        <f>IF(OR(AS335="",AT335=""),0,IFERROR(INDEX(#REF!,MATCH(AS335,#REF!,0))*AT335,0))</f>
        <v>0</v>
      </c>
      <c r="AV335" s="7"/>
      <c r="AW335" s="74"/>
      <c r="AX335" s="99">
        <f>IF(OR(AV335="",AW335=""),0,IFERROR(INDEX(#REF!,MATCH(AV335,#REF!,0))*AW335,0))</f>
        <v>0</v>
      </c>
      <c r="AY335" s="7"/>
      <c r="AZ335" s="77"/>
      <c r="BA335" s="99">
        <f>IF(OR(AY335="",AZ335=""),0,IFERROR(INDEX(#REF!,MATCH(AY335,#REF!,0))*AZ335,0))</f>
        <v>0</v>
      </c>
      <c r="BB335" s="100">
        <f t="shared" si="52"/>
        <v>0</v>
      </c>
      <c r="BC335" s="110" t="str">
        <f t="shared" si="53"/>
        <v/>
      </c>
      <c r="BD335" s="62"/>
    </row>
    <row r="336" spans="1:56" ht="19.5" customHeight="1" x14ac:dyDescent="0.45">
      <c r="A336" s="104" t="str">
        <f t="shared" si="45"/>
        <v/>
      </c>
      <c r="B336" s="5"/>
      <c r="C336" s="109"/>
      <c r="D336" s="107"/>
      <c r="E336" s="6"/>
      <c r="F336" s="85"/>
      <c r="G336" s="85"/>
      <c r="H336" s="104" t="str">
        <f t="shared" si="46"/>
        <v/>
      </c>
      <c r="I336" s="103" t="str">
        <f>IFERROR(INDEX(#REF!,MATCH(E336,#REF!,0)),"")</f>
        <v/>
      </c>
      <c r="J336" s="6"/>
      <c r="K336" s="103" t="str">
        <f t="shared" si="47"/>
        <v/>
      </c>
      <c r="L336" s="8"/>
      <c r="M336" s="102" t="str">
        <f t="shared" si="48"/>
        <v/>
      </c>
      <c r="N336" s="9"/>
      <c r="O336" s="103" t="str">
        <f t="shared" si="49"/>
        <v/>
      </c>
      <c r="P336" s="6"/>
      <c r="Q336" s="7"/>
      <c r="R336" s="10"/>
      <c r="S336" s="29" t="str">
        <f t="shared" ca="1" si="50"/>
        <v/>
      </c>
      <c r="T336" s="7"/>
      <c r="U336" s="74"/>
      <c r="V336" s="101">
        <f>IF(OR(T336="",U336=""),0,IFERROR(INDEX(#REF!,MATCH(T336,#REF!,0))*U336,0))</f>
        <v>0</v>
      </c>
      <c r="W336" s="7"/>
      <c r="X336" s="74"/>
      <c r="Y336" s="101">
        <f>IF(OR(W336="",X336=""),0,IFERROR(INDEX(#REF!,MATCH(W336,#REF!,0))*X336,0))</f>
        <v>0</v>
      </c>
      <c r="Z336" s="7"/>
      <c r="AA336" s="74"/>
      <c r="AB336" s="101">
        <f>IF(OR(Z336="",AA336=""),0,IFERROR(INDEX(#REF!,MATCH(Z336,#REF!,0))*AA336,0))</f>
        <v>0</v>
      </c>
      <c r="AC336" s="7"/>
      <c r="AD336" s="74"/>
      <c r="AE336" s="101">
        <f>IF(OR(AC336="",AD336=""),0,IFERROR(INDEX(#REF!,MATCH(AC336,#REF!,0))*AD336,0))</f>
        <v>0</v>
      </c>
      <c r="AF336" s="7"/>
      <c r="AG336" s="74"/>
      <c r="AH336" s="101">
        <f>IF(OR(AF336="",AG336=""),0,IFERROR(INDEX(#REF!,MATCH(AF336,#REF!,0))*AG336,0))</f>
        <v>0</v>
      </c>
      <c r="AI336" s="7"/>
      <c r="AJ336" s="74"/>
      <c r="AK336" s="101">
        <f>IF(OR(AI336="",AJ336=""),0,IFERROR(INDEX(#REF!,MATCH(AI336,#REF!,0))*AJ336,0))</f>
        <v>0</v>
      </c>
      <c r="AL336" s="101">
        <f t="shared" si="51"/>
        <v>0</v>
      </c>
      <c r="AM336" s="7"/>
      <c r="AN336" s="72"/>
      <c r="AO336" s="99">
        <f>IF(OR(AM336="",AN336=""),0,IFERROR(INDEX(#REF!,MATCH(AM336,#REF!,0))*AN336,0))</f>
        <v>0</v>
      </c>
      <c r="AP336" s="7"/>
      <c r="AQ336" s="74"/>
      <c r="AR336" s="99">
        <f>IF(OR(AP336="",AQ336=""),0,IFERROR(INDEX(#REF!,MATCH(AP336,#REF!,0))*AQ336,0))</f>
        <v>0</v>
      </c>
      <c r="AS336" s="7"/>
      <c r="AT336" s="74"/>
      <c r="AU336" s="99">
        <f>IF(OR(AS336="",AT336=""),0,IFERROR(INDEX(#REF!,MATCH(AS336,#REF!,0))*AT336,0))</f>
        <v>0</v>
      </c>
      <c r="AV336" s="7"/>
      <c r="AW336" s="74"/>
      <c r="AX336" s="99">
        <f>IF(OR(AV336="",AW336=""),0,IFERROR(INDEX(#REF!,MATCH(AV336,#REF!,0))*AW336,0))</f>
        <v>0</v>
      </c>
      <c r="AY336" s="7"/>
      <c r="AZ336" s="77"/>
      <c r="BA336" s="99">
        <f>IF(OR(AY336="",AZ336=""),0,IFERROR(INDEX(#REF!,MATCH(AY336,#REF!,0))*AZ336,0))</f>
        <v>0</v>
      </c>
      <c r="BB336" s="100">
        <f t="shared" si="52"/>
        <v>0</v>
      </c>
      <c r="BC336" s="110" t="str">
        <f t="shared" si="53"/>
        <v/>
      </c>
      <c r="BD336" s="62"/>
    </row>
    <row r="337" spans="1:56" ht="19.5" customHeight="1" x14ac:dyDescent="0.45">
      <c r="A337" s="104" t="str">
        <f t="shared" si="45"/>
        <v/>
      </c>
      <c r="B337" s="5"/>
      <c r="C337" s="109"/>
      <c r="D337" s="107"/>
      <c r="E337" s="6"/>
      <c r="F337" s="85"/>
      <c r="G337" s="85"/>
      <c r="H337" s="104" t="str">
        <f t="shared" si="46"/>
        <v/>
      </c>
      <c r="I337" s="103" t="str">
        <f>IFERROR(INDEX(#REF!,MATCH(E337,#REF!,0)),"")</f>
        <v/>
      </c>
      <c r="J337" s="6"/>
      <c r="K337" s="103" t="str">
        <f t="shared" si="47"/>
        <v/>
      </c>
      <c r="L337" s="8"/>
      <c r="M337" s="102" t="str">
        <f t="shared" si="48"/>
        <v/>
      </c>
      <c r="N337" s="9"/>
      <c r="O337" s="103" t="str">
        <f t="shared" si="49"/>
        <v/>
      </c>
      <c r="P337" s="6"/>
      <c r="Q337" s="7"/>
      <c r="R337" s="10"/>
      <c r="S337" s="29" t="str">
        <f t="shared" ca="1" si="50"/>
        <v/>
      </c>
      <c r="T337" s="7"/>
      <c r="U337" s="74"/>
      <c r="V337" s="101">
        <f>IF(OR(T337="",U337=""),0,IFERROR(INDEX(#REF!,MATCH(T337,#REF!,0))*U337,0))</f>
        <v>0</v>
      </c>
      <c r="W337" s="7"/>
      <c r="X337" s="74"/>
      <c r="Y337" s="101">
        <f>IF(OR(W337="",X337=""),0,IFERROR(INDEX(#REF!,MATCH(W337,#REF!,0))*X337,0))</f>
        <v>0</v>
      </c>
      <c r="Z337" s="7"/>
      <c r="AA337" s="74"/>
      <c r="AB337" s="101">
        <f>IF(OR(Z337="",AA337=""),0,IFERROR(INDEX(#REF!,MATCH(Z337,#REF!,0))*AA337,0))</f>
        <v>0</v>
      </c>
      <c r="AC337" s="7"/>
      <c r="AD337" s="74"/>
      <c r="AE337" s="101">
        <f>IF(OR(AC337="",AD337=""),0,IFERROR(INDEX(#REF!,MATCH(AC337,#REF!,0))*AD337,0))</f>
        <v>0</v>
      </c>
      <c r="AF337" s="7"/>
      <c r="AG337" s="74"/>
      <c r="AH337" s="101">
        <f>IF(OR(AF337="",AG337=""),0,IFERROR(INDEX(#REF!,MATCH(AF337,#REF!,0))*AG337,0))</f>
        <v>0</v>
      </c>
      <c r="AI337" s="7"/>
      <c r="AJ337" s="74"/>
      <c r="AK337" s="101">
        <f>IF(OR(AI337="",AJ337=""),0,IFERROR(INDEX(#REF!,MATCH(AI337,#REF!,0))*AJ337,0))</f>
        <v>0</v>
      </c>
      <c r="AL337" s="101">
        <f t="shared" si="51"/>
        <v>0</v>
      </c>
      <c r="AM337" s="7"/>
      <c r="AN337" s="72"/>
      <c r="AO337" s="99">
        <f>IF(OR(AM337="",AN337=""),0,IFERROR(INDEX(#REF!,MATCH(AM337,#REF!,0))*AN337,0))</f>
        <v>0</v>
      </c>
      <c r="AP337" s="7"/>
      <c r="AQ337" s="74"/>
      <c r="AR337" s="99">
        <f>IF(OR(AP337="",AQ337=""),0,IFERROR(INDEX(#REF!,MATCH(AP337,#REF!,0))*AQ337,0))</f>
        <v>0</v>
      </c>
      <c r="AS337" s="7"/>
      <c r="AT337" s="74"/>
      <c r="AU337" s="99">
        <f>IF(OR(AS337="",AT337=""),0,IFERROR(INDEX(#REF!,MATCH(AS337,#REF!,0))*AT337,0))</f>
        <v>0</v>
      </c>
      <c r="AV337" s="7"/>
      <c r="AW337" s="74"/>
      <c r="AX337" s="99">
        <f>IF(OR(AV337="",AW337=""),0,IFERROR(INDEX(#REF!,MATCH(AV337,#REF!,0))*AW337,0))</f>
        <v>0</v>
      </c>
      <c r="AY337" s="7"/>
      <c r="AZ337" s="77"/>
      <c r="BA337" s="99">
        <f>IF(OR(AY337="",AZ337=""),0,IFERROR(INDEX(#REF!,MATCH(AY337,#REF!,0))*AZ337,0))</f>
        <v>0</v>
      </c>
      <c r="BB337" s="100">
        <f t="shared" si="52"/>
        <v>0</v>
      </c>
      <c r="BC337" s="110" t="str">
        <f t="shared" si="53"/>
        <v/>
      </c>
      <c r="BD337" s="62"/>
    </row>
    <row r="338" spans="1:56" ht="19.5" customHeight="1" x14ac:dyDescent="0.45">
      <c r="A338" s="104" t="str">
        <f t="shared" si="45"/>
        <v/>
      </c>
      <c r="B338" s="5"/>
      <c r="C338" s="109"/>
      <c r="D338" s="107"/>
      <c r="E338" s="6"/>
      <c r="F338" s="85"/>
      <c r="G338" s="85"/>
      <c r="H338" s="104" t="str">
        <f t="shared" si="46"/>
        <v/>
      </c>
      <c r="I338" s="103" t="str">
        <f>IFERROR(INDEX(#REF!,MATCH(E338,#REF!,0)),"")</f>
        <v/>
      </c>
      <c r="J338" s="6"/>
      <c r="K338" s="103" t="str">
        <f t="shared" si="47"/>
        <v/>
      </c>
      <c r="L338" s="8"/>
      <c r="M338" s="102" t="str">
        <f t="shared" si="48"/>
        <v/>
      </c>
      <c r="N338" s="9"/>
      <c r="O338" s="103" t="str">
        <f t="shared" si="49"/>
        <v/>
      </c>
      <c r="P338" s="6"/>
      <c r="Q338" s="7"/>
      <c r="R338" s="10"/>
      <c r="S338" s="29" t="str">
        <f t="shared" ca="1" si="50"/>
        <v/>
      </c>
      <c r="T338" s="7"/>
      <c r="U338" s="74"/>
      <c r="V338" s="101">
        <f>IF(OR(T338="",U338=""),0,IFERROR(INDEX(#REF!,MATCH(T338,#REF!,0))*U338,0))</f>
        <v>0</v>
      </c>
      <c r="W338" s="7"/>
      <c r="X338" s="74"/>
      <c r="Y338" s="101">
        <f>IF(OR(W338="",X338=""),0,IFERROR(INDEX(#REF!,MATCH(W338,#REF!,0))*X338,0))</f>
        <v>0</v>
      </c>
      <c r="Z338" s="7"/>
      <c r="AA338" s="74"/>
      <c r="AB338" s="101">
        <f>IF(OR(Z338="",AA338=""),0,IFERROR(INDEX(#REF!,MATCH(Z338,#REF!,0))*AA338,0))</f>
        <v>0</v>
      </c>
      <c r="AC338" s="7"/>
      <c r="AD338" s="74"/>
      <c r="AE338" s="101">
        <f>IF(OR(AC338="",AD338=""),0,IFERROR(INDEX(#REF!,MATCH(AC338,#REF!,0))*AD338,0))</f>
        <v>0</v>
      </c>
      <c r="AF338" s="7"/>
      <c r="AG338" s="74"/>
      <c r="AH338" s="101">
        <f>IF(OR(AF338="",AG338=""),0,IFERROR(INDEX(#REF!,MATCH(AF338,#REF!,0))*AG338,0))</f>
        <v>0</v>
      </c>
      <c r="AI338" s="7"/>
      <c r="AJ338" s="74"/>
      <c r="AK338" s="101">
        <f>IF(OR(AI338="",AJ338=""),0,IFERROR(INDEX(#REF!,MATCH(AI338,#REF!,0))*AJ338,0))</f>
        <v>0</v>
      </c>
      <c r="AL338" s="101">
        <f t="shared" si="51"/>
        <v>0</v>
      </c>
      <c r="AM338" s="7"/>
      <c r="AN338" s="72"/>
      <c r="AO338" s="99">
        <f>IF(OR(AM338="",AN338=""),0,IFERROR(INDEX(#REF!,MATCH(AM338,#REF!,0))*AN338,0))</f>
        <v>0</v>
      </c>
      <c r="AP338" s="7"/>
      <c r="AQ338" s="74"/>
      <c r="AR338" s="99">
        <f>IF(OR(AP338="",AQ338=""),0,IFERROR(INDEX(#REF!,MATCH(AP338,#REF!,0))*AQ338,0))</f>
        <v>0</v>
      </c>
      <c r="AS338" s="7"/>
      <c r="AT338" s="74"/>
      <c r="AU338" s="99">
        <f>IF(OR(AS338="",AT338=""),0,IFERROR(INDEX(#REF!,MATCH(AS338,#REF!,0))*AT338,0))</f>
        <v>0</v>
      </c>
      <c r="AV338" s="7"/>
      <c r="AW338" s="74"/>
      <c r="AX338" s="99">
        <f>IF(OR(AV338="",AW338=""),0,IFERROR(INDEX(#REF!,MATCH(AV338,#REF!,0))*AW338,0))</f>
        <v>0</v>
      </c>
      <c r="AY338" s="7"/>
      <c r="AZ338" s="77"/>
      <c r="BA338" s="99">
        <f>IF(OR(AY338="",AZ338=""),0,IFERROR(INDEX(#REF!,MATCH(AY338,#REF!,0))*AZ338,0))</f>
        <v>0</v>
      </c>
      <c r="BB338" s="100">
        <f t="shared" si="52"/>
        <v>0</v>
      </c>
      <c r="BC338" s="110" t="str">
        <f t="shared" si="53"/>
        <v/>
      </c>
      <c r="BD338" s="62"/>
    </row>
    <row r="339" spans="1:56" ht="19.5" customHeight="1" x14ac:dyDescent="0.45">
      <c r="A339" s="104" t="str">
        <f t="shared" si="45"/>
        <v/>
      </c>
      <c r="B339" s="5"/>
      <c r="C339" s="109"/>
      <c r="D339" s="107"/>
      <c r="E339" s="6"/>
      <c r="F339" s="85"/>
      <c r="G339" s="85"/>
      <c r="H339" s="104" t="str">
        <f t="shared" si="46"/>
        <v/>
      </c>
      <c r="I339" s="103" t="str">
        <f>IFERROR(INDEX(#REF!,MATCH(E339,#REF!,0)),"")</f>
        <v/>
      </c>
      <c r="J339" s="6"/>
      <c r="K339" s="103" t="str">
        <f t="shared" si="47"/>
        <v/>
      </c>
      <c r="L339" s="8"/>
      <c r="M339" s="102" t="str">
        <f t="shared" si="48"/>
        <v/>
      </c>
      <c r="N339" s="9"/>
      <c r="O339" s="103" t="str">
        <f t="shared" si="49"/>
        <v/>
      </c>
      <c r="P339" s="6"/>
      <c r="Q339" s="7"/>
      <c r="R339" s="10"/>
      <c r="S339" s="29" t="str">
        <f t="shared" ca="1" si="50"/>
        <v/>
      </c>
      <c r="T339" s="7"/>
      <c r="U339" s="74"/>
      <c r="V339" s="101">
        <f>IF(OR(T339="",U339=""),0,IFERROR(INDEX(#REF!,MATCH(T339,#REF!,0))*U339,0))</f>
        <v>0</v>
      </c>
      <c r="W339" s="7"/>
      <c r="X339" s="74"/>
      <c r="Y339" s="101">
        <f>IF(OR(W339="",X339=""),0,IFERROR(INDEX(#REF!,MATCH(W339,#REF!,0))*X339,0))</f>
        <v>0</v>
      </c>
      <c r="Z339" s="7"/>
      <c r="AA339" s="74"/>
      <c r="AB339" s="101">
        <f>IF(OR(Z339="",AA339=""),0,IFERROR(INDEX(#REF!,MATCH(Z339,#REF!,0))*AA339,0))</f>
        <v>0</v>
      </c>
      <c r="AC339" s="7"/>
      <c r="AD339" s="74"/>
      <c r="AE339" s="101">
        <f>IF(OR(AC339="",AD339=""),0,IFERROR(INDEX(#REF!,MATCH(AC339,#REF!,0))*AD339,0))</f>
        <v>0</v>
      </c>
      <c r="AF339" s="7"/>
      <c r="AG339" s="74"/>
      <c r="AH339" s="101">
        <f>IF(OR(AF339="",AG339=""),0,IFERROR(INDEX(#REF!,MATCH(AF339,#REF!,0))*AG339,0))</f>
        <v>0</v>
      </c>
      <c r="AI339" s="7"/>
      <c r="AJ339" s="74"/>
      <c r="AK339" s="101">
        <f>IF(OR(AI339="",AJ339=""),0,IFERROR(INDEX(#REF!,MATCH(AI339,#REF!,0))*AJ339,0))</f>
        <v>0</v>
      </c>
      <c r="AL339" s="101">
        <f t="shared" si="51"/>
        <v>0</v>
      </c>
      <c r="AM339" s="7"/>
      <c r="AN339" s="72"/>
      <c r="AO339" s="99">
        <f>IF(OR(AM339="",AN339=""),0,IFERROR(INDEX(#REF!,MATCH(AM339,#REF!,0))*AN339,0))</f>
        <v>0</v>
      </c>
      <c r="AP339" s="7"/>
      <c r="AQ339" s="74"/>
      <c r="AR339" s="99">
        <f>IF(OR(AP339="",AQ339=""),0,IFERROR(INDEX(#REF!,MATCH(AP339,#REF!,0))*AQ339,0))</f>
        <v>0</v>
      </c>
      <c r="AS339" s="7"/>
      <c r="AT339" s="74"/>
      <c r="AU339" s="99">
        <f>IF(OR(AS339="",AT339=""),0,IFERROR(INDEX(#REF!,MATCH(AS339,#REF!,0))*AT339,0))</f>
        <v>0</v>
      </c>
      <c r="AV339" s="7"/>
      <c r="AW339" s="74"/>
      <c r="AX339" s="99">
        <f>IF(OR(AV339="",AW339=""),0,IFERROR(INDEX(#REF!,MATCH(AV339,#REF!,0))*AW339,0))</f>
        <v>0</v>
      </c>
      <c r="AY339" s="7"/>
      <c r="AZ339" s="77"/>
      <c r="BA339" s="99">
        <f>IF(OR(AY339="",AZ339=""),0,IFERROR(INDEX(#REF!,MATCH(AY339,#REF!,0))*AZ339,0))</f>
        <v>0</v>
      </c>
      <c r="BB339" s="100">
        <f t="shared" si="52"/>
        <v>0</v>
      </c>
      <c r="BC339" s="110" t="str">
        <f t="shared" si="53"/>
        <v/>
      </c>
      <c r="BD339" s="62"/>
    </row>
    <row r="340" spans="1:56" ht="19.5" customHeight="1" x14ac:dyDescent="0.45">
      <c r="A340" s="104" t="str">
        <f t="shared" si="45"/>
        <v/>
      </c>
      <c r="B340" s="5"/>
      <c r="C340" s="109"/>
      <c r="D340" s="107"/>
      <c r="E340" s="6"/>
      <c r="F340" s="85"/>
      <c r="G340" s="85"/>
      <c r="H340" s="104" t="str">
        <f t="shared" si="46"/>
        <v/>
      </c>
      <c r="I340" s="103" t="str">
        <f>IFERROR(INDEX(#REF!,MATCH(E340,#REF!,0)),"")</f>
        <v/>
      </c>
      <c r="J340" s="6"/>
      <c r="K340" s="103" t="str">
        <f t="shared" si="47"/>
        <v/>
      </c>
      <c r="L340" s="8"/>
      <c r="M340" s="102" t="str">
        <f t="shared" si="48"/>
        <v/>
      </c>
      <c r="N340" s="9"/>
      <c r="O340" s="103" t="str">
        <f t="shared" si="49"/>
        <v/>
      </c>
      <c r="P340" s="6"/>
      <c r="Q340" s="7"/>
      <c r="R340" s="10"/>
      <c r="S340" s="29" t="str">
        <f t="shared" ca="1" si="50"/>
        <v/>
      </c>
      <c r="T340" s="7"/>
      <c r="U340" s="74"/>
      <c r="V340" s="101">
        <f>IF(OR(T340="",U340=""),0,IFERROR(INDEX(#REF!,MATCH(T340,#REF!,0))*U340,0))</f>
        <v>0</v>
      </c>
      <c r="W340" s="7"/>
      <c r="X340" s="74"/>
      <c r="Y340" s="101">
        <f>IF(OR(W340="",X340=""),0,IFERROR(INDEX(#REF!,MATCH(W340,#REF!,0))*X340,0))</f>
        <v>0</v>
      </c>
      <c r="Z340" s="7"/>
      <c r="AA340" s="74"/>
      <c r="AB340" s="101">
        <f>IF(OR(Z340="",AA340=""),0,IFERROR(INDEX(#REF!,MATCH(Z340,#REF!,0))*AA340,0))</f>
        <v>0</v>
      </c>
      <c r="AC340" s="7"/>
      <c r="AD340" s="74"/>
      <c r="AE340" s="101">
        <f>IF(OR(AC340="",AD340=""),0,IFERROR(INDEX(#REF!,MATCH(AC340,#REF!,0))*AD340,0))</f>
        <v>0</v>
      </c>
      <c r="AF340" s="7"/>
      <c r="AG340" s="74"/>
      <c r="AH340" s="101">
        <f>IF(OR(AF340="",AG340=""),0,IFERROR(INDEX(#REF!,MATCH(AF340,#REF!,0))*AG340,0))</f>
        <v>0</v>
      </c>
      <c r="AI340" s="7"/>
      <c r="AJ340" s="74"/>
      <c r="AK340" s="101">
        <f>IF(OR(AI340="",AJ340=""),0,IFERROR(INDEX(#REF!,MATCH(AI340,#REF!,0))*AJ340,0))</f>
        <v>0</v>
      </c>
      <c r="AL340" s="101">
        <f t="shared" si="51"/>
        <v>0</v>
      </c>
      <c r="AM340" s="7"/>
      <c r="AN340" s="72"/>
      <c r="AO340" s="99">
        <f>IF(OR(AM340="",AN340=""),0,IFERROR(INDEX(#REF!,MATCH(AM340,#REF!,0))*AN340,0))</f>
        <v>0</v>
      </c>
      <c r="AP340" s="7"/>
      <c r="AQ340" s="74"/>
      <c r="AR340" s="99">
        <f>IF(OR(AP340="",AQ340=""),0,IFERROR(INDEX(#REF!,MATCH(AP340,#REF!,0))*AQ340,0))</f>
        <v>0</v>
      </c>
      <c r="AS340" s="7"/>
      <c r="AT340" s="74"/>
      <c r="AU340" s="99">
        <f>IF(OR(AS340="",AT340=""),0,IFERROR(INDEX(#REF!,MATCH(AS340,#REF!,0))*AT340,0))</f>
        <v>0</v>
      </c>
      <c r="AV340" s="7"/>
      <c r="AW340" s="74"/>
      <c r="AX340" s="99">
        <f>IF(OR(AV340="",AW340=""),0,IFERROR(INDEX(#REF!,MATCH(AV340,#REF!,0))*AW340,0))</f>
        <v>0</v>
      </c>
      <c r="AY340" s="7"/>
      <c r="AZ340" s="77"/>
      <c r="BA340" s="99">
        <f>IF(OR(AY340="",AZ340=""),0,IFERROR(INDEX(#REF!,MATCH(AY340,#REF!,0))*AZ340,0))</f>
        <v>0</v>
      </c>
      <c r="BB340" s="100">
        <f t="shared" si="52"/>
        <v>0</v>
      </c>
      <c r="BC340" s="110" t="str">
        <f t="shared" si="53"/>
        <v/>
      </c>
      <c r="BD340" s="62"/>
    </row>
    <row r="341" spans="1:56" ht="19.5" customHeight="1" x14ac:dyDescent="0.45">
      <c r="A341" s="104" t="str">
        <f t="shared" ref="A341:A404" si="54">IF(B341="","","BK-"&amp;TEXT(ROW()-4,"0000"))</f>
        <v/>
      </c>
      <c r="B341" s="5"/>
      <c r="C341" s="109"/>
      <c r="D341" s="107"/>
      <c r="E341" s="6"/>
      <c r="F341" s="85"/>
      <c r="G341" s="85"/>
      <c r="H341" s="104" t="str">
        <f t="shared" si="46"/>
        <v/>
      </c>
      <c r="I341" s="103" t="str">
        <f>IFERROR(INDEX(#REF!,MATCH(E341,#REF!,0)),"")</f>
        <v/>
      </c>
      <c r="J341" s="6"/>
      <c r="K341" s="103" t="str">
        <f t="shared" si="47"/>
        <v/>
      </c>
      <c r="L341" s="8"/>
      <c r="M341" s="102" t="str">
        <f t="shared" si="48"/>
        <v/>
      </c>
      <c r="N341" s="9"/>
      <c r="O341" s="103" t="str">
        <f t="shared" si="49"/>
        <v/>
      </c>
      <c r="P341" s="6"/>
      <c r="Q341" s="7"/>
      <c r="R341" s="10"/>
      <c r="S341" s="29" t="str">
        <f t="shared" ca="1" si="50"/>
        <v/>
      </c>
      <c r="T341" s="7"/>
      <c r="U341" s="74"/>
      <c r="V341" s="101">
        <f>IF(OR(T341="",U341=""),0,IFERROR(INDEX(#REF!,MATCH(T341,#REF!,0))*U341,0))</f>
        <v>0</v>
      </c>
      <c r="W341" s="7"/>
      <c r="X341" s="74"/>
      <c r="Y341" s="101">
        <f>IF(OR(W341="",X341=""),0,IFERROR(INDEX(#REF!,MATCH(W341,#REF!,0))*X341,0))</f>
        <v>0</v>
      </c>
      <c r="Z341" s="7"/>
      <c r="AA341" s="74"/>
      <c r="AB341" s="101">
        <f>IF(OR(Z341="",AA341=""),0,IFERROR(INDEX(#REF!,MATCH(Z341,#REF!,0))*AA341,0))</f>
        <v>0</v>
      </c>
      <c r="AC341" s="7"/>
      <c r="AD341" s="74"/>
      <c r="AE341" s="101">
        <f>IF(OR(AC341="",AD341=""),0,IFERROR(INDEX(#REF!,MATCH(AC341,#REF!,0))*AD341,0))</f>
        <v>0</v>
      </c>
      <c r="AF341" s="7"/>
      <c r="AG341" s="74"/>
      <c r="AH341" s="101">
        <f>IF(OR(AF341="",AG341=""),0,IFERROR(INDEX(#REF!,MATCH(AF341,#REF!,0))*AG341,0))</f>
        <v>0</v>
      </c>
      <c r="AI341" s="7"/>
      <c r="AJ341" s="74"/>
      <c r="AK341" s="101">
        <f>IF(OR(AI341="",AJ341=""),0,IFERROR(INDEX(#REF!,MATCH(AI341,#REF!,0))*AJ341,0))</f>
        <v>0</v>
      </c>
      <c r="AL341" s="101">
        <f t="shared" si="51"/>
        <v>0</v>
      </c>
      <c r="AM341" s="7"/>
      <c r="AN341" s="72"/>
      <c r="AO341" s="99">
        <f>IF(OR(AM341="",AN341=""),0,IFERROR(INDEX(#REF!,MATCH(AM341,#REF!,0))*AN341,0))</f>
        <v>0</v>
      </c>
      <c r="AP341" s="7"/>
      <c r="AQ341" s="74"/>
      <c r="AR341" s="99">
        <f>IF(OR(AP341="",AQ341=""),0,IFERROR(INDEX(#REF!,MATCH(AP341,#REF!,0))*AQ341,0))</f>
        <v>0</v>
      </c>
      <c r="AS341" s="7"/>
      <c r="AT341" s="74"/>
      <c r="AU341" s="99">
        <f>IF(OR(AS341="",AT341=""),0,IFERROR(INDEX(#REF!,MATCH(AS341,#REF!,0))*AT341,0))</f>
        <v>0</v>
      </c>
      <c r="AV341" s="7"/>
      <c r="AW341" s="74"/>
      <c r="AX341" s="99">
        <f>IF(OR(AV341="",AW341=""),0,IFERROR(INDEX(#REF!,MATCH(AV341,#REF!,0))*AW341,0))</f>
        <v>0</v>
      </c>
      <c r="AY341" s="7"/>
      <c r="AZ341" s="77"/>
      <c r="BA341" s="99">
        <f>IF(OR(AY341="",AZ341=""),0,IFERROR(INDEX(#REF!,MATCH(AY341,#REF!,0))*AZ341,0))</f>
        <v>0</v>
      </c>
      <c r="BB341" s="100">
        <f t="shared" si="52"/>
        <v>0</v>
      </c>
      <c r="BC341" s="110" t="str">
        <f t="shared" si="53"/>
        <v/>
      </c>
      <c r="BD341" s="62"/>
    </row>
    <row r="342" spans="1:56" ht="19.5" customHeight="1" x14ac:dyDescent="0.45">
      <c r="A342" s="104" t="str">
        <f t="shared" si="54"/>
        <v/>
      </c>
      <c r="B342" s="5"/>
      <c r="C342" s="109"/>
      <c r="D342" s="107"/>
      <c r="E342" s="6"/>
      <c r="F342" s="85"/>
      <c r="G342" s="85"/>
      <c r="H342" s="104" t="str">
        <f t="shared" si="46"/>
        <v/>
      </c>
      <c r="I342" s="103" t="str">
        <f>IFERROR(INDEX(#REF!,MATCH(E342,#REF!,0)),"")</f>
        <v/>
      </c>
      <c r="J342" s="6"/>
      <c r="K342" s="103" t="str">
        <f t="shared" si="47"/>
        <v/>
      </c>
      <c r="L342" s="8"/>
      <c r="M342" s="102" t="str">
        <f t="shared" si="48"/>
        <v/>
      </c>
      <c r="N342" s="9"/>
      <c r="O342" s="103" t="str">
        <f t="shared" si="49"/>
        <v/>
      </c>
      <c r="P342" s="6"/>
      <c r="Q342" s="7"/>
      <c r="R342" s="10"/>
      <c r="S342" s="29" t="str">
        <f t="shared" ca="1" si="50"/>
        <v/>
      </c>
      <c r="T342" s="7"/>
      <c r="U342" s="74"/>
      <c r="V342" s="101">
        <f>IF(OR(T342="",U342=""),0,IFERROR(INDEX(#REF!,MATCH(T342,#REF!,0))*U342,0))</f>
        <v>0</v>
      </c>
      <c r="W342" s="7"/>
      <c r="X342" s="74"/>
      <c r="Y342" s="101">
        <f>IF(OR(W342="",X342=""),0,IFERROR(INDEX(#REF!,MATCH(W342,#REF!,0))*X342,0))</f>
        <v>0</v>
      </c>
      <c r="Z342" s="7"/>
      <c r="AA342" s="74"/>
      <c r="AB342" s="101">
        <f>IF(OR(Z342="",AA342=""),0,IFERROR(INDEX(#REF!,MATCH(Z342,#REF!,0))*AA342,0))</f>
        <v>0</v>
      </c>
      <c r="AC342" s="7"/>
      <c r="AD342" s="74"/>
      <c r="AE342" s="101">
        <f>IF(OR(AC342="",AD342=""),0,IFERROR(INDEX(#REF!,MATCH(AC342,#REF!,0))*AD342,0))</f>
        <v>0</v>
      </c>
      <c r="AF342" s="7"/>
      <c r="AG342" s="74"/>
      <c r="AH342" s="101">
        <f>IF(OR(AF342="",AG342=""),0,IFERROR(INDEX(#REF!,MATCH(AF342,#REF!,0))*AG342,0))</f>
        <v>0</v>
      </c>
      <c r="AI342" s="7"/>
      <c r="AJ342" s="74"/>
      <c r="AK342" s="101">
        <f>IF(OR(AI342="",AJ342=""),0,IFERROR(INDEX(#REF!,MATCH(AI342,#REF!,0))*AJ342,0))</f>
        <v>0</v>
      </c>
      <c r="AL342" s="101">
        <f t="shared" si="51"/>
        <v>0</v>
      </c>
      <c r="AM342" s="7"/>
      <c r="AN342" s="72"/>
      <c r="AO342" s="99">
        <f>IF(OR(AM342="",AN342=""),0,IFERROR(INDEX(#REF!,MATCH(AM342,#REF!,0))*AN342,0))</f>
        <v>0</v>
      </c>
      <c r="AP342" s="7"/>
      <c r="AQ342" s="74"/>
      <c r="AR342" s="99">
        <f>IF(OR(AP342="",AQ342=""),0,IFERROR(INDEX(#REF!,MATCH(AP342,#REF!,0))*AQ342,0))</f>
        <v>0</v>
      </c>
      <c r="AS342" s="7"/>
      <c r="AT342" s="74"/>
      <c r="AU342" s="99">
        <f>IF(OR(AS342="",AT342=""),0,IFERROR(INDEX(#REF!,MATCH(AS342,#REF!,0))*AT342,0))</f>
        <v>0</v>
      </c>
      <c r="AV342" s="7"/>
      <c r="AW342" s="74"/>
      <c r="AX342" s="99">
        <f>IF(OR(AV342="",AW342=""),0,IFERROR(INDEX(#REF!,MATCH(AV342,#REF!,0))*AW342,0))</f>
        <v>0</v>
      </c>
      <c r="AY342" s="7"/>
      <c r="AZ342" s="77"/>
      <c r="BA342" s="99">
        <f>IF(OR(AY342="",AZ342=""),0,IFERROR(INDEX(#REF!,MATCH(AY342,#REF!,0))*AZ342,0))</f>
        <v>0</v>
      </c>
      <c r="BB342" s="100">
        <f t="shared" si="52"/>
        <v>0</v>
      </c>
      <c r="BC342" s="110" t="str">
        <f t="shared" si="53"/>
        <v/>
      </c>
      <c r="BD342" s="62"/>
    </row>
    <row r="343" spans="1:56" ht="19.5" customHeight="1" x14ac:dyDescent="0.45">
      <c r="A343" s="104" t="str">
        <f t="shared" si="54"/>
        <v/>
      </c>
      <c r="B343" s="5"/>
      <c r="C343" s="109"/>
      <c r="D343" s="107"/>
      <c r="E343" s="6"/>
      <c r="F343" s="85"/>
      <c r="G343" s="85"/>
      <c r="H343" s="104" t="str">
        <f t="shared" si="46"/>
        <v/>
      </c>
      <c r="I343" s="103" t="str">
        <f>IFERROR(INDEX(#REF!,MATCH(E343,#REF!,0)),"")</f>
        <v/>
      </c>
      <c r="J343" s="6"/>
      <c r="K343" s="103" t="str">
        <f t="shared" si="47"/>
        <v/>
      </c>
      <c r="L343" s="8"/>
      <c r="M343" s="102" t="str">
        <f t="shared" si="48"/>
        <v/>
      </c>
      <c r="N343" s="9"/>
      <c r="O343" s="103" t="str">
        <f t="shared" si="49"/>
        <v/>
      </c>
      <c r="P343" s="6"/>
      <c r="Q343" s="7"/>
      <c r="R343" s="10"/>
      <c r="S343" s="29" t="str">
        <f t="shared" ca="1" si="50"/>
        <v/>
      </c>
      <c r="T343" s="7"/>
      <c r="U343" s="74"/>
      <c r="V343" s="101">
        <f>IF(OR(T343="",U343=""),0,IFERROR(INDEX(#REF!,MATCH(T343,#REF!,0))*U343,0))</f>
        <v>0</v>
      </c>
      <c r="W343" s="7"/>
      <c r="X343" s="74"/>
      <c r="Y343" s="101">
        <f>IF(OR(W343="",X343=""),0,IFERROR(INDEX(#REF!,MATCH(W343,#REF!,0))*X343,0))</f>
        <v>0</v>
      </c>
      <c r="Z343" s="7"/>
      <c r="AA343" s="74"/>
      <c r="AB343" s="101">
        <f>IF(OR(Z343="",AA343=""),0,IFERROR(INDEX(#REF!,MATCH(Z343,#REF!,0))*AA343,0))</f>
        <v>0</v>
      </c>
      <c r="AC343" s="7"/>
      <c r="AD343" s="74"/>
      <c r="AE343" s="101">
        <f>IF(OR(AC343="",AD343=""),0,IFERROR(INDEX(#REF!,MATCH(AC343,#REF!,0))*AD343,0))</f>
        <v>0</v>
      </c>
      <c r="AF343" s="7"/>
      <c r="AG343" s="74"/>
      <c r="AH343" s="101">
        <f>IF(OR(AF343="",AG343=""),0,IFERROR(INDEX(#REF!,MATCH(AF343,#REF!,0))*AG343,0))</f>
        <v>0</v>
      </c>
      <c r="AI343" s="7"/>
      <c r="AJ343" s="74"/>
      <c r="AK343" s="101">
        <f>IF(OR(AI343="",AJ343=""),0,IFERROR(INDEX(#REF!,MATCH(AI343,#REF!,0))*AJ343,0))</f>
        <v>0</v>
      </c>
      <c r="AL343" s="101">
        <f t="shared" si="51"/>
        <v>0</v>
      </c>
      <c r="AM343" s="7"/>
      <c r="AN343" s="72"/>
      <c r="AO343" s="99">
        <f>IF(OR(AM343="",AN343=""),0,IFERROR(INDEX(#REF!,MATCH(AM343,#REF!,0))*AN343,0))</f>
        <v>0</v>
      </c>
      <c r="AP343" s="7"/>
      <c r="AQ343" s="74"/>
      <c r="AR343" s="99">
        <f>IF(OR(AP343="",AQ343=""),0,IFERROR(INDEX(#REF!,MATCH(AP343,#REF!,0))*AQ343,0))</f>
        <v>0</v>
      </c>
      <c r="AS343" s="7"/>
      <c r="AT343" s="74"/>
      <c r="AU343" s="99">
        <f>IF(OR(AS343="",AT343=""),0,IFERROR(INDEX(#REF!,MATCH(AS343,#REF!,0))*AT343,0))</f>
        <v>0</v>
      </c>
      <c r="AV343" s="7"/>
      <c r="AW343" s="74"/>
      <c r="AX343" s="99">
        <f>IF(OR(AV343="",AW343=""),0,IFERROR(INDEX(#REF!,MATCH(AV343,#REF!,0))*AW343,0))</f>
        <v>0</v>
      </c>
      <c r="AY343" s="7"/>
      <c r="AZ343" s="77"/>
      <c r="BA343" s="99">
        <f>IF(OR(AY343="",AZ343=""),0,IFERROR(INDEX(#REF!,MATCH(AY343,#REF!,0))*AZ343,0))</f>
        <v>0</v>
      </c>
      <c r="BB343" s="100">
        <f t="shared" si="52"/>
        <v>0</v>
      </c>
      <c r="BC343" s="110" t="str">
        <f t="shared" si="53"/>
        <v/>
      </c>
      <c r="BD343" s="62"/>
    </row>
    <row r="344" spans="1:56" ht="19.5" customHeight="1" x14ac:dyDescent="0.45">
      <c r="A344" s="104" t="str">
        <f t="shared" si="54"/>
        <v/>
      </c>
      <c r="B344" s="5"/>
      <c r="C344" s="109"/>
      <c r="D344" s="107"/>
      <c r="E344" s="6"/>
      <c r="F344" s="85"/>
      <c r="G344" s="85"/>
      <c r="H344" s="104" t="str">
        <f t="shared" si="46"/>
        <v/>
      </c>
      <c r="I344" s="103" t="str">
        <f>IFERROR(INDEX(#REF!,MATCH(E344,#REF!,0)),"")</f>
        <v/>
      </c>
      <c r="J344" s="6"/>
      <c r="K344" s="103" t="str">
        <f t="shared" si="47"/>
        <v/>
      </c>
      <c r="L344" s="8"/>
      <c r="M344" s="102" t="str">
        <f t="shared" si="48"/>
        <v/>
      </c>
      <c r="N344" s="9"/>
      <c r="O344" s="103" t="str">
        <f t="shared" si="49"/>
        <v/>
      </c>
      <c r="P344" s="6"/>
      <c r="Q344" s="7"/>
      <c r="R344" s="10"/>
      <c r="S344" s="29" t="str">
        <f t="shared" ca="1" si="50"/>
        <v/>
      </c>
      <c r="T344" s="7"/>
      <c r="U344" s="74"/>
      <c r="V344" s="101">
        <f>IF(OR(T344="",U344=""),0,IFERROR(INDEX(#REF!,MATCH(T344,#REF!,0))*U344,0))</f>
        <v>0</v>
      </c>
      <c r="W344" s="7"/>
      <c r="X344" s="74"/>
      <c r="Y344" s="101">
        <f>IF(OR(W344="",X344=""),0,IFERROR(INDEX(#REF!,MATCH(W344,#REF!,0))*X344,0))</f>
        <v>0</v>
      </c>
      <c r="Z344" s="7"/>
      <c r="AA344" s="74"/>
      <c r="AB344" s="101">
        <f>IF(OR(Z344="",AA344=""),0,IFERROR(INDEX(#REF!,MATCH(Z344,#REF!,0))*AA344,0))</f>
        <v>0</v>
      </c>
      <c r="AC344" s="7"/>
      <c r="AD344" s="74"/>
      <c r="AE344" s="101">
        <f>IF(OR(AC344="",AD344=""),0,IFERROR(INDEX(#REF!,MATCH(AC344,#REF!,0))*AD344,0))</f>
        <v>0</v>
      </c>
      <c r="AF344" s="7"/>
      <c r="AG344" s="74"/>
      <c r="AH344" s="101">
        <f>IF(OR(AF344="",AG344=""),0,IFERROR(INDEX(#REF!,MATCH(AF344,#REF!,0))*AG344,0))</f>
        <v>0</v>
      </c>
      <c r="AI344" s="7"/>
      <c r="AJ344" s="74"/>
      <c r="AK344" s="101">
        <f>IF(OR(AI344="",AJ344=""),0,IFERROR(INDEX(#REF!,MATCH(AI344,#REF!,0))*AJ344,0))</f>
        <v>0</v>
      </c>
      <c r="AL344" s="101">
        <f t="shared" si="51"/>
        <v>0</v>
      </c>
      <c r="AM344" s="7"/>
      <c r="AN344" s="72"/>
      <c r="AO344" s="99">
        <f>IF(OR(AM344="",AN344=""),0,IFERROR(INDEX(#REF!,MATCH(AM344,#REF!,0))*AN344,0))</f>
        <v>0</v>
      </c>
      <c r="AP344" s="7"/>
      <c r="AQ344" s="74"/>
      <c r="AR344" s="99">
        <f>IF(OR(AP344="",AQ344=""),0,IFERROR(INDEX(#REF!,MATCH(AP344,#REF!,0))*AQ344,0))</f>
        <v>0</v>
      </c>
      <c r="AS344" s="7"/>
      <c r="AT344" s="74"/>
      <c r="AU344" s="99">
        <f>IF(OR(AS344="",AT344=""),0,IFERROR(INDEX(#REF!,MATCH(AS344,#REF!,0))*AT344,0))</f>
        <v>0</v>
      </c>
      <c r="AV344" s="7"/>
      <c r="AW344" s="74"/>
      <c r="AX344" s="99">
        <f>IF(OR(AV344="",AW344=""),0,IFERROR(INDEX(#REF!,MATCH(AV344,#REF!,0))*AW344,0))</f>
        <v>0</v>
      </c>
      <c r="AY344" s="7"/>
      <c r="AZ344" s="77"/>
      <c r="BA344" s="99">
        <f>IF(OR(AY344="",AZ344=""),0,IFERROR(INDEX(#REF!,MATCH(AY344,#REF!,0))*AZ344,0))</f>
        <v>0</v>
      </c>
      <c r="BB344" s="100">
        <f t="shared" si="52"/>
        <v>0</v>
      </c>
      <c r="BC344" s="110" t="str">
        <f t="shared" si="53"/>
        <v/>
      </c>
      <c r="BD344" s="62"/>
    </row>
    <row r="345" spans="1:56" ht="19.5" customHeight="1" x14ac:dyDescent="0.45">
      <c r="A345" s="104" t="str">
        <f t="shared" si="54"/>
        <v/>
      </c>
      <c r="B345" s="5"/>
      <c r="C345" s="109"/>
      <c r="D345" s="107"/>
      <c r="E345" s="6"/>
      <c r="F345" s="85"/>
      <c r="G345" s="85"/>
      <c r="H345" s="104" t="str">
        <f t="shared" si="46"/>
        <v/>
      </c>
      <c r="I345" s="103" t="str">
        <f>IFERROR(INDEX(#REF!,MATCH(E345,#REF!,0)),"")</f>
        <v/>
      </c>
      <c r="J345" s="6"/>
      <c r="K345" s="103" t="str">
        <f t="shared" si="47"/>
        <v/>
      </c>
      <c r="L345" s="8"/>
      <c r="M345" s="102" t="str">
        <f t="shared" si="48"/>
        <v/>
      </c>
      <c r="N345" s="9"/>
      <c r="O345" s="103" t="str">
        <f t="shared" si="49"/>
        <v/>
      </c>
      <c r="P345" s="6"/>
      <c r="Q345" s="7"/>
      <c r="R345" s="10"/>
      <c r="S345" s="29" t="str">
        <f t="shared" ca="1" si="50"/>
        <v/>
      </c>
      <c r="T345" s="7"/>
      <c r="U345" s="74"/>
      <c r="V345" s="101">
        <f>IF(OR(T345="",U345=""),0,IFERROR(INDEX(#REF!,MATCH(T345,#REF!,0))*U345,0))</f>
        <v>0</v>
      </c>
      <c r="W345" s="7"/>
      <c r="X345" s="74"/>
      <c r="Y345" s="101">
        <f>IF(OR(W345="",X345=""),0,IFERROR(INDEX(#REF!,MATCH(W345,#REF!,0))*X345,0))</f>
        <v>0</v>
      </c>
      <c r="Z345" s="7"/>
      <c r="AA345" s="74"/>
      <c r="AB345" s="101">
        <f>IF(OR(Z345="",AA345=""),0,IFERROR(INDEX(#REF!,MATCH(Z345,#REF!,0))*AA345,0))</f>
        <v>0</v>
      </c>
      <c r="AC345" s="7"/>
      <c r="AD345" s="74"/>
      <c r="AE345" s="101">
        <f>IF(OR(AC345="",AD345=""),0,IFERROR(INDEX(#REF!,MATCH(AC345,#REF!,0))*AD345,0))</f>
        <v>0</v>
      </c>
      <c r="AF345" s="7"/>
      <c r="AG345" s="74"/>
      <c r="AH345" s="101">
        <f>IF(OR(AF345="",AG345=""),0,IFERROR(INDEX(#REF!,MATCH(AF345,#REF!,0))*AG345,0))</f>
        <v>0</v>
      </c>
      <c r="AI345" s="7"/>
      <c r="AJ345" s="74"/>
      <c r="AK345" s="101">
        <f>IF(OR(AI345="",AJ345=""),0,IFERROR(INDEX(#REF!,MATCH(AI345,#REF!,0))*AJ345,0))</f>
        <v>0</v>
      </c>
      <c r="AL345" s="101">
        <f t="shared" si="51"/>
        <v>0</v>
      </c>
      <c r="AM345" s="7"/>
      <c r="AN345" s="72"/>
      <c r="AO345" s="99">
        <f>IF(OR(AM345="",AN345=""),0,IFERROR(INDEX(#REF!,MATCH(AM345,#REF!,0))*AN345,0))</f>
        <v>0</v>
      </c>
      <c r="AP345" s="7"/>
      <c r="AQ345" s="74"/>
      <c r="AR345" s="99">
        <f>IF(OR(AP345="",AQ345=""),0,IFERROR(INDEX(#REF!,MATCH(AP345,#REF!,0))*AQ345,0))</f>
        <v>0</v>
      </c>
      <c r="AS345" s="7"/>
      <c r="AT345" s="74"/>
      <c r="AU345" s="99">
        <f>IF(OR(AS345="",AT345=""),0,IFERROR(INDEX(#REF!,MATCH(AS345,#REF!,0))*AT345,0))</f>
        <v>0</v>
      </c>
      <c r="AV345" s="7"/>
      <c r="AW345" s="74"/>
      <c r="AX345" s="99">
        <f>IF(OR(AV345="",AW345=""),0,IFERROR(INDEX(#REF!,MATCH(AV345,#REF!,0))*AW345,0))</f>
        <v>0</v>
      </c>
      <c r="AY345" s="7"/>
      <c r="AZ345" s="77"/>
      <c r="BA345" s="99">
        <f>IF(OR(AY345="",AZ345=""),0,IFERROR(INDEX(#REF!,MATCH(AY345,#REF!,0))*AZ345,0))</f>
        <v>0</v>
      </c>
      <c r="BB345" s="100">
        <f t="shared" si="52"/>
        <v>0</v>
      </c>
      <c r="BC345" s="110" t="str">
        <f t="shared" si="53"/>
        <v/>
      </c>
      <c r="BD345" s="62"/>
    </row>
    <row r="346" spans="1:56" ht="19.5" customHeight="1" x14ac:dyDescent="0.45">
      <c r="A346" s="104" t="str">
        <f t="shared" si="54"/>
        <v/>
      </c>
      <c r="B346" s="5"/>
      <c r="C346" s="109"/>
      <c r="D346" s="107"/>
      <c r="E346" s="6"/>
      <c r="F346" s="85"/>
      <c r="G346" s="85"/>
      <c r="H346" s="104" t="str">
        <f t="shared" si="46"/>
        <v/>
      </c>
      <c r="I346" s="103" t="str">
        <f>IFERROR(INDEX(#REF!,MATCH(E346,#REF!,0)),"")</f>
        <v/>
      </c>
      <c r="J346" s="6"/>
      <c r="K346" s="103" t="str">
        <f t="shared" si="47"/>
        <v/>
      </c>
      <c r="L346" s="8"/>
      <c r="M346" s="102" t="str">
        <f t="shared" si="48"/>
        <v/>
      </c>
      <c r="N346" s="9"/>
      <c r="O346" s="103" t="str">
        <f t="shared" si="49"/>
        <v/>
      </c>
      <c r="P346" s="6"/>
      <c r="Q346" s="7"/>
      <c r="R346" s="10"/>
      <c r="S346" s="29" t="str">
        <f t="shared" ca="1" si="50"/>
        <v/>
      </c>
      <c r="T346" s="7"/>
      <c r="U346" s="74"/>
      <c r="V346" s="101">
        <f>IF(OR(T346="",U346=""),0,IFERROR(INDEX(#REF!,MATCH(T346,#REF!,0))*U346,0))</f>
        <v>0</v>
      </c>
      <c r="W346" s="7"/>
      <c r="X346" s="74"/>
      <c r="Y346" s="101">
        <f>IF(OR(W346="",X346=""),0,IFERROR(INDEX(#REF!,MATCH(W346,#REF!,0))*X346,0))</f>
        <v>0</v>
      </c>
      <c r="Z346" s="7"/>
      <c r="AA346" s="74"/>
      <c r="AB346" s="101">
        <f>IF(OR(Z346="",AA346=""),0,IFERROR(INDEX(#REF!,MATCH(Z346,#REF!,0))*AA346,0))</f>
        <v>0</v>
      </c>
      <c r="AC346" s="7"/>
      <c r="AD346" s="74"/>
      <c r="AE346" s="101">
        <f>IF(OR(AC346="",AD346=""),0,IFERROR(INDEX(#REF!,MATCH(AC346,#REF!,0))*AD346,0))</f>
        <v>0</v>
      </c>
      <c r="AF346" s="7"/>
      <c r="AG346" s="74"/>
      <c r="AH346" s="101">
        <f>IF(OR(AF346="",AG346=""),0,IFERROR(INDEX(#REF!,MATCH(AF346,#REF!,0))*AG346,0))</f>
        <v>0</v>
      </c>
      <c r="AI346" s="7"/>
      <c r="AJ346" s="74"/>
      <c r="AK346" s="101">
        <f>IF(OR(AI346="",AJ346=""),0,IFERROR(INDEX(#REF!,MATCH(AI346,#REF!,0))*AJ346,0))</f>
        <v>0</v>
      </c>
      <c r="AL346" s="101">
        <f t="shared" si="51"/>
        <v>0</v>
      </c>
      <c r="AM346" s="7"/>
      <c r="AN346" s="72"/>
      <c r="AO346" s="99">
        <f>IF(OR(AM346="",AN346=""),0,IFERROR(INDEX(#REF!,MATCH(AM346,#REF!,0))*AN346,0))</f>
        <v>0</v>
      </c>
      <c r="AP346" s="7"/>
      <c r="AQ346" s="74"/>
      <c r="AR346" s="99">
        <f>IF(OR(AP346="",AQ346=""),0,IFERROR(INDEX(#REF!,MATCH(AP346,#REF!,0))*AQ346,0))</f>
        <v>0</v>
      </c>
      <c r="AS346" s="7"/>
      <c r="AT346" s="74"/>
      <c r="AU346" s="99">
        <f>IF(OR(AS346="",AT346=""),0,IFERROR(INDEX(#REF!,MATCH(AS346,#REF!,0))*AT346,0))</f>
        <v>0</v>
      </c>
      <c r="AV346" s="7"/>
      <c r="AW346" s="74"/>
      <c r="AX346" s="99">
        <f>IF(OR(AV346="",AW346=""),0,IFERROR(INDEX(#REF!,MATCH(AV346,#REF!,0))*AW346,0))</f>
        <v>0</v>
      </c>
      <c r="AY346" s="7"/>
      <c r="AZ346" s="77"/>
      <c r="BA346" s="99">
        <f>IF(OR(AY346="",AZ346=""),0,IFERROR(INDEX(#REF!,MATCH(AY346,#REF!,0))*AZ346,0))</f>
        <v>0</v>
      </c>
      <c r="BB346" s="100">
        <f t="shared" si="52"/>
        <v>0</v>
      </c>
      <c r="BC346" s="110" t="str">
        <f t="shared" si="53"/>
        <v/>
      </c>
      <c r="BD346" s="62"/>
    </row>
    <row r="347" spans="1:56" ht="19.5" customHeight="1" x14ac:dyDescent="0.45">
      <c r="A347" s="104" t="str">
        <f t="shared" si="54"/>
        <v/>
      </c>
      <c r="B347" s="5"/>
      <c r="C347" s="109"/>
      <c r="D347" s="107"/>
      <c r="E347" s="6"/>
      <c r="F347" s="85"/>
      <c r="G347" s="85"/>
      <c r="H347" s="104" t="str">
        <f t="shared" si="46"/>
        <v/>
      </c>
      <c r="I347" s="103" t="str">
        <f>IFERROR(INDEX(#REF!,MATCH(E347,#REF!,0)),"")</f>
        <v/>
      </c>
      <c r="J347" s="6"/>
      <c r="K347" s="103" t="str">
        <f t="shared" si="47"/>
        <v/>
      </c>
      <c r="L347" s="8"/>
      <c r="M347" s="102" t="str">
        <f t="shared" si="48"/>
        <v/>
      </c>
      <c r="N347" s="9"/>
      <c r="O347" s="103" t="str">
        <f t="shared" si="49"/>
        <v/>
      </c>
      <c r="P347" s="6"/>
      <c r="Q347" s="7"/>
      <c r="R347" s="10"/>
      <c r="S347" s="29" t="str">
        <f t="shared" ca="1" si="50"/>
        <v/>
      </c>
      <c r="T347" s="7"/>
      <c r="U347" s="74"/>
      <c r="V347" s="101">
        <f>IF(OR(T347="",U347=""),0,IFERROR(INDEX(#REF!,MATCH(T347,#REF!,0))*U347,0))</f>
        <v>0</v>
      </c>
      <c r="W347" s="7"/>
      <c r="X347" s="74"/>
      <c r="Y347" s="101">
        <f>IF(OR(W347="",X347=""),0,IFERROR(INDEX(#REF!,MATCH(W347,#REF!,0))*X347,0))</f>
        <v>0</v>
      </c>
      <c r="Z347" s="7"/>
      <c r="AA347" s="74"/>
      <c r="AB347" s="101">
        <f>IF(OR(Z347="",AA347=""),0,IFERROR(INDEX(#REF!,MATCH(Z347,#REF!,0))*AA347,0))</f>
        <v>0</v>
      </c>
      <c r="AC347" s="7"/>
      <c r="AD347" s="74"/>
      <c r="AE347" s="101">
        <f>IF(OR(AC347="",AD347=""),0,IFERROR(INDEX(#REF!,MATCH(AC347,#REF!,0))*AD347,0))</f>
        <v>0</v>
      </c>
      <c r="AF347" s="7"/>
      <c r="AG347" s="74"/>
      <c r="AH347" s="101">
        <f>IF(OR(AF347="",AG347=""),0,IFERROR(INDEX(#REF!,MATCH(AF347,#REF!,0))*AG347,0))</f>
        <v>0</v>
      </c>
      <c r="AI347" s="7"/>
      <c r="AJ347" s="74"/>
      <c r="AK347" s="101">
        <f>IF(OR(AI347="",AJ347=""),0,IFERROR(INDEX(#REF!,MATCH(AI347,#REF!,0))*AJ347,0))</f>
        <v>0</v>
      </c>
      <c r="AL347" s="101">
        <f t="shared" si="51"/>
        <v>0</v>
      </c>
      <c r="AM347" s="7"/>
      <c r="AN347" s="72"/>
      <c r="AO347" s="99">
        <f>IF(OR(AM347="",AN347=""),0,IFERROR(INDEX(#REF!,MATCH(AM347,#REF!,0))*AN347,0))</f>
        <v>0</v>
      </c>
      <c r="AP347" s="7"/>
      <c r="AQ347" s="74"/>
      <c r="AR347" s="99">
        <f>IF(OR(AP347="",AQ347=""),0,IFERROR(INDEX(#REF!,MATCH(AP347,#REF!,0))*AQ347,0))</f>
        <v>0</v>
      </c>
      <c r="AS347" s="7"/>
      <c r="AT347" s="74"/>
      <c r="AU347" s="99">
        <f>IF(OR(AS347="",AT347=""),0,IFERROR(INDEX(#REF!,MATCH(AS347,#REF!,0))*AT347,0))</f>
        <v>0</v>
      </c>
      <c r="AV347" s="7"/>
      <c r="AW347" s="74"/>
      <c r="AX347" s="99">
        <f>IF(OR(AV347="",AW347=""),0,IFERROR(INDEX(#REF!,MATCH(AV347,#REF!,0))*AW347,0))</f>
        <v>0</v>
      </c>
      <c r="AY347" s="7"/>
      <c r="AZ347" s="77"/>
      <c r="BA347" s="99">
        <f>IF(OR(AY347="",AZ347=""),0,IFERROR(INDEX(#REF!,MATCH(AY347,#REF!,0))*AZ347,0))</f>
        <v>0</v>
      </c>
      <c r="BB347" s="100">
        <f t="shared" si="52"/>
        <v>0</v>
      </c>
      <c r="BC347" s="110" t="str">
        <f t="shared" si="53"/>
        <v/>
      </c>
      <c r="BD347" s="62"/>
    </row>
    <row r="348" spans="1:56" ht="19.5" customHeight="1" x14ac:dyDescent="0.45">
      <c r="A348" s="104" t="str">
        <f t="shared" si="54"/>
        <v/>
      </c>
      <c r="B348" s="5"/>
      <c r="C348" s="109"/>
      <c r="D348" s="107"/>
      <c r="E348" s="6"/>
      <c r="F348" s="85"/>
      <c r="G348" s="85"/>
      <c r="H348" s="104" t="str">
        <f t="shared" si="46"/>
        <v/>
      </c>
      <c r="I348" s="103" t="str">
        <f>IFERROR(INDEX(#REF!,MATCH(E348,#REF!,0)),"")</f>
        <v/>
      </c>
      <c r="J348" s="6"/>
      <c r="K348" s="103" t="str">
        <f t="shared" si="47"/>
        <v/>
      </c>
      <c r="L348" s="8"/>
      <c r="M348" s="102" t="str">
        <f t="shared" si="48"/>
        <v/>
      </c>
      <c r="N348" s="9"/>
      <c r="O348" s="103" t="str">
        <f t="shared" si="49"/>
        <v/>
      </c>
      <c r="P348" s="6"/>
      <c r="Q348" s="7"/>
      <c r="R348" s="10"/>
      <c r="S348" s="29" t="str">
        <f t="shared" ca="1" si="50"/>
        <v/>
      </c>
      <c r="T348" s="7"/>
      <c r="U348" s="74"/>
      <c r="V348" s="101">
        <f>IF(OR(T348="",U348=""),0,IFERROR(INDEX(#REF!,MATCH(T348,#REF!,0))*U348,0))</f>
        <v>0</v>
      </c>
      <c r="W348" s="7"/>
      <c r="X348" s="74"/>
      <c r="Y348" s="101">
        <f>IF(OR(W348="",X348=""),0,IFERROR(INDEX(#REF!,MATCH(W348,#REF!,0))*X348,0))</f>
        <v>0</v>
      </c>
      <c r="Z348" s="7"/>
      <c r="AA348" s="74"/>
      <c r="AB348" s="101">
        <f>IF(OR(Z348="",AA348=""),0,IFERROR(INDEX(#REF!,MATCH(Z348,#REF!,0))*AA348,0))</f>
        <v>0</v>
      </c>
      <c r="AC348" s="7"/>
      <c r="AD348" s="74"/>
      <c r="AE348" s="101">
        <f>IF(OR(AC348="",AD348=""),0,IFERROR(INDEX(#REF!,MATCH(AC348,#REF!,0))*AD348,0))</f>
        <v>0</v>
      </c>
      <c r="AF348" s="7"/>
      <c r="AG348" s="74"/>
      <c r="AH348" s="101">
        <f>IF(OR(AF348="",AG348=""),0,IFERROR(INDEX(#REF!,MATCH(AF348,#REF!,0))*AG348,0))</f>
        <v>0</v>
      </c>
      <c r="AI348" s="7"/>
      <c r="AJ348" s="74"/>
      <c r="AK348" s="101">
        <f>IF(OR(AI348="",AJ348=""),0,IFERROR(INDEX(#REF!,MATCH(AI348,#REF!,0))*AJ348,0))</f>
        <v>0</v>
      </c>
      <c r="AL348" s="101">
        <f t="shared" si="51"/>
        <v>0</v>
      </c>
      <c r="AM348" s="7"/>
      <c r="AN348" s="72"/>
      <c r="AO348" s="99">
        <f>IF(OR(AM348="",AN348=""),0,IFERROR(INDEX(#REF!,MATCH(AM348,#REF!,0))*AN348,0))</f>
        <v>0</v>
      </c>
      <c r="AP348" s="7"/>
      <c r="AQ348" s="74"/>
      <c r="AR348" s="99">
        <f>IF(OR(AP348="",AQ348=""),0,IFERROR(INDEX(#REF!,MATCH(AP348,#REF!,0))*AQ348,0))</f>
        <v>0</v>
      </c>
      <c r="AS348" s="7"/>
      <c r="AT348" s="74"/>
      <c r="AU348" s="99">
        <f>IF(OR(AS348="",AT348=""),0,IFERROR(INDEX(#REF!,MATCH(AS348,#REF!,0))*AT348,0))</f>
        <v>0</v>
      </c>
      <c r="AV348" s="7"/>
      <c r="AW348" s="74"/>
      <c r="AX348" s="99">
        <f>IF(OR(AV348="",AW348=""),0,IFERROR(INDEX(#REF!,MATCH(AV348,#REF!,0))*AW348,0))</f>
        <v>0</v>
      </c>
      <c r="AY348" s="7"/>
      <c r="AZ348" s="77"/>
      <c r="BA348" s="99">
        <f>IF(OR(AY348="",AZ348=""),0,IFERROR(INDEX(#REF!,MATCH(AY348,#REF!,0))*AZ348,0))</f>
        <v>0</v>
      </c>
      <c r="BB348" s="100">
        <f t="shared" si="52"/>
        <v>0</v>
      </c>
      <c r="BC348" s="110" t="str">
        <f t="shared" si="53"/>
        <v/>
      </c>
      <c r="BD348" s="62"/>
    </row>
    <row r="349" spans="1:56" ht="19.5" customHeight="1" x14ac:dyDescent="0.45">
      <c r="A349" s="104" t="str">
        <f t="shared" si="54"/>
        <v/>
      </c>
      <c r="B349" s="5"/>
      <c r="C349" s="109"/>
      <c r="D349" s="107"/>
      <c r="E349" s="6"/>
      <c r="F349" s="85"/>
      <c r="G349" s="85"/>
      <c r="H349" s="104" t="str">
        <f t="shared" si="46"/>
        <v/>
      </c>
      <c r="I349" s="103" t="str">
        <f>IFERROR(INDEX(#REF!,MATCH(E349,#REF!,0)),"")</f>
        <v/>
      </c>
      <c r="J349" s="6"/>
      <c r="K349" s="103" t="str">
        <f t="shared" si="47"/>
        <v/>
      </c>
      <c r="L349" s="8"/>
      <c r="M349" s="102" t="str">
        <f t="shared" si="48"/>
        <v/>
      </c>
      <c r="N349" s="9"/>
      <c r="O349" s="103" t="str">
        <f t="shared" si="49"/>
        <v/>
      </c>
      <c r="P349" s="6"/>
      <c r="Q349" s="7"/>
      <c r="R349" s="10"/>
      <c r="S349" s="29" t="str">
        <f t="shared" ca="1" si="50"/>
        <v/>
      </c>
      <c r="T349" s="7"/>
      <c r="U349" s="74"/>
      <c r="V349" s="101">
        <f>IF(OR(T349="",U349=""),0,IFERROR(INDEX(#REF!,MATCH(T349,#REF!,0))*U349,0))</f>
        <v>0</v>
      </c>
      <c r="W349" s="7"/>
      <c r="X349" s="74"/>
      <c r="Y349" s="101">
        <f>IF(OR(W349="",X349=""),0,IFERROR(INDEX(#REF!,MATCH(W349,#REF!,0))*X349,0))</f>
        <v>0</v>
      </c>
      <c r="Z349" s="7"/>
      <c r="AA349" s="74"/>
      <c r="AB349" s="101">
        <f>IF(OR(Z349="",AA349=""),0,IFERROR(INDEX(#REF!,MATCH(Z349,#REF!,0))*AA349,0))</f>
        <v>0</v>
      </c>
      <c r="AC349" s="7"/>
      <c r="AD349" s="74"/>
      <c r="AE349" s="101">
        <f>IF(OR(AC349="",AD349=""),0,IFERROR(INDEX(#REF!,MATCH(AC349,#REF!,0))*AD349,0))</f>
        <v>0</v>
      </c>
      <c r="AF349" s="7"/>
      <c r="AG349" s="74"/>
      <c r="AH349" s="101">
        <f>IF(OR(AF349="",AG349=""),0,IFERROR(INDEX(#REF!,MATCH(AF349,#REF!,0))*AG349,0))</f>
        <v>0</v>
      </c>
      <c r="AI349" s="7"/>
      <c r="AJ349" s="74"/>
      <c r="AK349" s="101">
        <f>IF(OR(AI349="",AJ349=""),0,IFERROR(INDEX(#REF!,MATCH(AI349,#REF!,0))*AJ349,0))</f>
        <v>0</v>
      </c>
      <c r="AL349" s="101">
        <f t="shared" si="51"/>
        <v>0</v>
      </c>
      <c r="AM349" s="7"/>
      <c r="AN349" s="72"/>
      <c r="AO349" s="99">
        <f>IF(OR(AM349="",AN349=""),0,IFERROR(INDEX(#REF!,MATCH(AM349,#REF!,0))*AN349,0))</f>
        <v>0</v>
      </c>
      <c r="AP349" s="7"/>
      <c r="AQ349" s="74"/>
      <c r="AR349" s="99">
        <f>IF(OR(AP349="",AQ349=""),0,IFERROR(INDEX(#REF!,MATCH(AP349,#REF!,0))*AQ349,0))</f>
        <v>0</v>
      </c>
      <c r="AS349" s="7"/>
      <c r="AT349" s="74"/>
      <c r="AU349" s="99">
        <f>IF(OR(AS349="",AT349=""),0,IFERROR(INDEX(#REF!,MATCH(AS349,#REF!,0))*AT349,0))</f>
        <v>0</v>
      </c>
      <c r="AV349" s="7"/>
      <c r="AW349" s="74"/>
      <c r="AX349" s="99">
        <f>IF(OR(AV349="",AW349=""),0,IFERROR(INDEX(#REF!,MATCH(AV349,#REF!,0))*AW349,0))</f>
        <v>0</v>
      </c>
      <c r="AY349" s="7"/>
      <c r="AZ349" s="77"/>
      <c r="BA349" s="99">
        <f>IF(OR(AY349="",AZ349=""),0,IFERROR(INDEX(#REF!,MATCH(AY349,#REF!,0))*AZ349,0))</f>
        <v>0</v>
      </c>
      <c r="BB349" s="100">
        <f t="shared" si="52"/>
        <v>0</v>
      </c>
      <c r="BC349" s="110" t="str">
        <f t="shared" si="53"/>
        <v/>
      </c>
      <c r="BD349" s="62"/>
    </row>
    <row r="350" spans="1:56" ht="19.5" customHeight="1" x14ac:dyDescent="0.45">
      <c r="A350" s="104" t="str">
        <f t="shared" si="54"/>
        <v/>
      </c>
      <c r="B350" s="5"/>
      <c r="C350" s="109"/>
      <c r="D350" s="107"/>
      <c r="E350" s="6"/>
      <c r="F350" s="85"/>
      <c r="G350" s="85"/>
      <c r="H350" s="104" t="str">
        <f t="shared" si="46"/>
        <v/>
      </c>
      <c r="I350" s="103" t="str">
        <f>IFERROR(INDEX(#REF!,MATCH(E350,#REF!,0)),"")</f>
        <v/>
      </c>
      <c r="J350" s="6"/>
      <c r="K350" s="103" t="str">
        <f t="shared" si="47"/>
        <v/>
      </c>
      <c r="L350" s="8"/>
      <c r="M350" s="102" t="str">
        <f t="shared" si="48"/>
        <v/>
      </c>
      <c r="N350" s="9"/>
      <c r="O350" s="103" t="str">
        <f t="shared" si="49"/>
        <v/>
      </c>
      <c r="P350" s="6"/>
      <c r="Q350" s="7"/>
      <c r="R350" s="10"/>
      <c r="S350" s="29" t="str">
        <f t="shared" ca="1" si="50"/>
        <v/>
      </c>
      <c r="T350" s="7"/>
      <c r="U350" s="74"/>
      <c r="V350" s="101">
        <f>IF(OR(T350="",U350=""),0,IFERROR(INDEX(#REF!,MATCH(T350,#REF!,0))*U350,0))</f>
        <v>0</v>
      </c>
      <c r="W350" s="7"/>
      <c r="X350" s="74"/>
      <c r="Y350" s="101">
        <f>IF(OR(W350="",X350=""),0,IFERROR(INDEX(#REF!,MATCH(W350,#REF!,0))*X350,0))</f>
        <v>0</v>
      </c>
      <c r="Z350" s="7"/>
      <c r="AA350" s="74"/>
      <c r="AB350" s="101">
        <f>IF(OR(Z350="",AA350=""),0,IFERROR(INDEX(#REF!,MATCH(Z350,#REF!,0))*AA350,0))</f>
        <v>0</v>
      </c>
      <c r="AC350" s="7"/>
      <c r="AD350" s="74"/>
      <c r="AE350" s="101">
        <f>IF(OR(AC350="",AD350=""),0,IFERROR(INDEX(#REF!,MATCH(AC350,#REF!,0))*AD350,0))</f>
        <v>0</v>
      </c>
      <c r="AF350" s="7"/>
      <c r="AG350" s="74"/>
      <c r="AH350" s="101">
        <f>IF(OR(AF350="",AG350=""),0,IFERROR(INDEX(#REF!,MATCH(AF350,#REF!,0))*AG350,0))</f>
        <v>0</v>
      </c>
      <c r="AI350" s="7"/>
      <c r="AJ350" s="74"/>
      <c r="AK350" s="101">
        <f>IF(OR(AI350="",AJ350=""),0,IFERROR(INDEX(#REF!,MATCH(AI350,#REF!,0))*AJ350,0))</f>
        <v>0</v>
      </c>
      <c r="AL350" s="101">
        <f t="shared" si="51"/>
        <v>0</v>
      </c>
      <c r="AM350" s="7"/>
      <c r="AN350" s="72"/>
      <c r="AO350" s="99">
        <f>IF(OR(AM350="",AN350=""),0,IFERROR(INDEX(#REF!,MATCH(AM350,#REF!,0))*AN350,0))</f>
        <v>0</v>
      </c>
      <c r="AP350" s="7"/>
      <c r="AQ350" s="74"/>
      <c r="AR350" s="99">
        <f>IF(OR(AP350="",AQ350=""),0,IFERROR(INDEX(#REF!,MATCH(AP350,#REF!,0))*AQ350,0))</f>
        <v>0</v>
      </c>
      <c r="AS350" s="7"/>
      <c r="AT350" s="74"/>
      <c r="AU350" s="99">
        <f>IF(OR(AS350="",AT350=""),0,IFERROR(INDEX(#REF!,MATCH(AS350,#REF!,0))*AT350,0))</f>
        <v>0</v>
      </c>
      <c r="AV350" s="7"/>
      <c r="AW350" s="74"/>
      <c r="AX350" s="99">
        <f>IF(OR(AV350="",AW350=""),0,IFERROR(INDEX(#REF!,MATCH(AV350,#REF!,0))*AW350,0))</f>
        <v>0</v>
      </c>
      <c r="AY350" s="7"/>
      <c r="AZ350" s="77"/>
      <c r="BA350" s="99">
        <f>IF(OR(AY350="",AZ350=""),0,IFERROR(INDEX(#REF!,MATCH(AY350,#REF!,0))*AZ350,0))</f>
        <v>0</v>
      </c>
      <c r="BB350" s="100">
        <f t="shared" si="52"/>
        <v>0</v>
      </c>
      <c r="BC350" s="110" t="str">
        <f t="shared" si="53"/>
        <v/>
      </c>
      <c r="BD350" s="62"/>
    </row>
    <row r="351" spans="1:56" ht="19.5" customHeight="1" x14ac:dyDescent="0.45">
      <c r="A351" s="104" t="str">
        <f t="shared" si="54"/>
        <v/>
      </c>
      <c r="B351" s="5"/>
      <c r="C351" s="109"/>
      <c r="D351" s="107"/>
      <c r="E351" s="6"/>
      <c r="F351" s="85"/>
      <c r="G351" s="85"/>
      <c r="H351" s="104" t="str">
        <f t="shared" si="46"/>
        <v/>
      </c>
      <c r="I351" s="103" t="str">
        <f>IFERROR(INDEX(#REF!,MATCH(E351,#REF!,0)),"")</f>
        <v/>
      </c>
      <c r="J351" s="6"/>
      <c r="K351" s="103" t="str">
        <f t="shared" si="47"/>
        <v/>
      </c>
      <c r="L351" s="8"/>
      <c r="M351" s="102" t="str">
        <f t="shared" si="48"/>
        <v/>
      </c>
      <c r="N351" s="9"/>
      <c r="O351" s="103" t="str">
        <f t="shared" si="49"/>
        <v/>
      </c>
      <c r="P351" s="6"/>
      <c r="Q351" s="7"/>
      <c r="R351" s="10"/>
      <c r="S351" s="29" t="str">
        <f t="shared" ca="1" si="50"/>
        <v/>
      </c>
      <c r="T351" s="7"/>
      <c r="U351" s="74"/>
      <c r="V351" s="101">
        <f>IF(OR(T351="",U351=""),0,IFERROR(INDEX(#REF!,MATCH(T351,#REF!,0))*U351,0))</f>
        <v>0</v>
      </c>
      <c r="W351" s="7"/>
      <c r="X351" s="74"/>
      <c r="Y351" s="101">
        <f>IF(OR(W351="",X351=""),0,IFERROR(INDEX(#REF!,MATCH(W351,#REF!,0))*X351,0))</f>
        <v>0</v>
      </c>
      <c r="Z351" s="7"/>
      <c r="AA351" s="74"/>
      <c r="AB351" s="101">
        <f>IF(OR(Z351="",AA351=""),0,IFERROR(INDEX(#REF!,MATCH(Z351,#REF!,0))*AA351,0))</f>
        <v>0</v>
      </c>
      <c r="AC351" s="7"/>
      <c r="AD351" s="74"/>
      <c r="AE351" s="101">
        <f>IF(OR(AC351="",AD351=""),0,IFERROR(INDEX(#REF!,MATCH(AC351,#REF!,0))*AD351,0))</f>
        <v>0</v>
      </c>
      <c r="AF351" s="7"/>
      <c r="AG351" s="74"/>
      <c r="AH351" s="101">
        <f>IF(OR(AF351="",AG351=""),0,IFERROR(INDEX(#REF!,MATCH(AF351,#REF!,0))*AG351,0))</f>
        <v>0</v>
      </c>
      <c r="AI351" s="7"/>
      <c r="AJ351" s="74"/>
      <c r="AK351" s="101">
        <f>IF(OR(AI351="",AJ351=""),0,IFERROR(INDEX(#REF!,MATCH(AI351,#REF!,0))*AJ351,0))</f>
        <v>0</v>
      </c>
      <c r="AL351" s="101">
        <f t="shared" si="51"/>
        <v>0</v>
      </c>
      <c r="AM351" s="7"/>
      <c r="AN351" s="72"/>
      <c r="AO351" s="99">
        <f>IF(OR(AM351="",AN351=""),0,IFERROR(INDEX(#REF!,MATCH(AM351,#REF!,0))*AN351,0))</f>
        <v>0</v>
      </c>
      <c r="AP351" s="7"/>
      <c r="AQ351" s="74"/>
      <c r="AR351" s="99">
        <f>IF(OR(AP351="",AQ351=""),0,IFERROR(INDEX(#REF!,MATCH(AP351,#REF!,0))*AQ351,0))</f>
        <v>0</v>
      </c>
      <c r="AS351" s="7"/>
      <c r="AT351" s="74"/>
      <c r="AU351" s="99">
        <f>IF(OR(AS351="",AT351=""),0,IFERROR(INDEX(#REF!,MATCH(AS351,#REF!,0))*AT351,0))</f>
        <v>0</v>
      </c>
      <c r="AV351" s="7"/>
      <c r="AW351" s="74"/>
      <c r="AX351" s="99">
        <f>IF(OR(AV351="",AW351=""),0,IFERROR(INDEX(#REF!,MATCH(AV351,#REF!,0))*AW351,0))</f>
        <v>0</v>
      </c>
      <c r="AY351" s="7"/>
      <c r="AZ351" s="77"/>
      <c r="BA351" s="99">
        <f>IF(OR(AY351="",AZ351=""),0,IFERROR(INDEX(#REF!,MATCH(AY351,#REF!,0))*AZ351,0))</f>
        <v>0</v>
      </c>
      <c r="BB351" s="100">
        <f t="shared" si="52"/>
        <v>0</v>
      </c>
      <c r="BC351" s="110" t="str">
        <f t="shared" si="53"/>
        <v/>
      </c>
      <c r="BD351" s="62"/>
    </row>
    <row r="352" spans="1:56" ht="19.5" customHeight="1" x14ac:dyDescent="0.45">
      <c r="A352" s="104" t="str">
        <f t="shared" si="54"/>
        <v/>
      </c>
      <c r="B352" s="5"/>
      <c r="C352" s="109"/>
      <c r="D352" s="107"/>
      <c r="E352" s="6"/>
      <c r="F352" s="85"/>
      <c r="G352" s="85"/>
      <c r="H352" s="104" t="str">
        <f t="shared" si="46"/>
        <v/>
      </c>
      <c r="I352" s="103" t="str">
        <f>IFERROR(INDEX(#REF!,MATCH(E352,#REF!,0)),"")</f>
        <v/>
      </c>
      <c r="J352" s="6"/>
      <c r="K352" s="103" t="str">
        <f t="shared" si="47"/>
        <v/>
      </c>
      <c r="L352" s="8"/>
      <c r="M352" s="102" t="str">
        <f t="shared" si="48"/>
        <v/>
      </c>
      <c r="N352" s="9"/>
      <c r="O352" s="103" t="str">
        <f t="shared" si="49"/>
        <v/>
      </c>
      <c r="P352" s="6"/>
      <c r="Q352" s="7"/>
      <c r="R352" s="10"/>
      <c r="S352" s="29" t="str">
        <f t="shared" ca="1" si="50"/>
        <v/>
      </c>
      <c r="T352" s="7"/>
      <c r="U352" s="74"/>
      <c r="V352" s="101">
        <f>IF(OR(T352="",U352=""),0,IFERROR(INDEX(#REF!,MATCH(T352,#REF!,0))*U352,0))</f>
        <v>0</v>
      </c>
      <c r="W352" s="7"/>
      <c r="X352" s="74"/>
      <c r="Y352" s="101">
        <f>IF(OR(W352="",X352=""),0,IFERROR(INDEX(#REF!,MATCH(W352,#REF!,0))*X352,0))</f>
        <v>0</v>
      </c>
      <c r="Z352" s="7"/>
      <c r="AA352" s="74"/>
      <c r="AB352" s="101">
        <f>IF(OR(Z352="",AA352=""),0,IFERROR(INDEX(#REF!,MATCH(Z352,#REF!,0))*AA352,0))</f>
        <v>0</v>
      </c>
      <c r="AC352" s="7"/>
      <c r="AD352" s="74"/>
      <c r="AE352" s="101">
        <f>IF(OR(AC352="",AD352=""),0,IFERROR(INDEX(#REF!,MATCH(AC352,#REF!,0))*AD352,0))</f>
        <v>0</v>
      </c>
      <c r="AF352" s="7"/>
      <c r="AG352" s="74"/>
      <c r="AH352" s="101">
        <f>IF(OR(AF352="",AG352=""),0,IFERROR(INDEX(#REF!,MATCH(AF352,#REF!,0))*AG352,0))</f>
        <v>0</v>
      </c>
      <c r="AI352" s="7"/>
      <c r="AJ352" s="74"/>
      <c r="AK352" s="101">
        <f>IF(OR(AI352="",AJ352=""),0,IFERROR(INDEX(#REF!,MATCH(AI352,#REF!,0))*AJ352,0))</f>
        <v>0</v>
      </c>
      <c r="AL352" s="101">
        <f t="shared" si="51"/>
        <v>0</v>
      </c>
      <c r="AM352" s="7"/>
      <c r="AN352" s="72"/>
      <c r="AO352" s="99">
        <f>IF(OR(AM352="",AN352=""),0,IFERROR(INDEX(#REF!,MATCH(AM352,#REF!,0))*AN352,0))</f>
        <v>0</v>
      </c>
      <c r="AP352" s="7"/>
      <c r="AQ352" s="74"/>
      <c r="AR352" s="99">
        <f>IF(OR(AP352="",AQ352=""),0,IFERROR(INDEX(#REF!,MATCH(AP352,#REF!,0))*AQ352,0))</f>
        <v>0</v>
      </c>
      <c r="AS352" s="7"/>
      <c r="AT352" s="74"/>
      <c r="AU352" s="99">
        <f>IF(OR(AS352="",AT352=""),0,IFERROR(INDEX(#REF!,MATCH(AS352,#REF!,0))*AT352,0))</f>
        <v>0</v>
      </c>
      <c r="AV352" s="7"/>
      <c r="AW352" s="74"/>
      <c r="AX352" s="99">
        <f>IF(OR(AV352="",AW352=""),0,IFERROR(INDEX(#REF!,MATCH(AV352,#REF!,0))*AW352,0))</f>
        <v>0</v>
      </c>
      <c r="AY352" s="7"/>
      <c r="AZ352" s="77"/>
      <c r="BA352" s="99">
        <f>IF(OR(AY352="",AZ352=""),0,IFERROR(INDEX(#REF!,MATCH(AY352,#REF!,0))*AZ352,0))</f>
        <v>0</v>
      </c>
      <c r="BB352" s="100">
        <f t="shared" si="52"/>
        <v>0</v>
      </c>
      <c r="BC352" s="110" t="str">
        <f t="shared" si="53"/>
        <v/>
      </c>
      <c r="BD352" s="62"/>
    </row>
    <row r="353" spans="1:56" ht="19.5" customHeight="1" x14ac:dyDescent="0.45">
      <c r="A353" s="104" t="str">
        <f t="shared" si="54"/>
        <v/>
      </c>
      <c r="B353" s="5"/>
      <c r="C353" s="109"/>
      <c r="D353" s="107"/>
      <c r="E353" s="6"/>
      <c r="F353" s="85"/>
      <c r="G353" s="85"/>
      <c r="H353" s="104" t="str">
        <f t="shared" si="46"/>
        <v/>
      </c>
      <c r="I353" s="103" t="str">
        <f>IFERROR(INDEX(#REF!,MATCH(E353,#REF!,0)),"")</f>
        <v/>
      </c>
      <c r="J353" s="6"/>
      <c r="K353" s="103" t="str">
        <f t="shared" si="47"/>
        <v/>
      </c>
      <c r="L353" s="8"/>
      <c r="M353" s="102" t="str">
        <f t="shared" si="48"/>
        <v/>
      </c>
      <c r="N353" s="9"/>
      <c r="O353" s="103" t="str">
        <f t="shared" si="49"/>
        <v/>
      </c>
      <c r="P353" s="6"/>
      <c r="Q353" s="7"/>
      <c r="R353" s="10"/>
      <c r="S353" s="29" t="str">
        <f t="shared" ca="1" si="50"/>
        <v/>
      </c>
      <c r="T353" s="7"/>
      <c r="U353" s="74"/>
      <c r="V353" s="101">
        <f>IF(OR(T353="",U353=""),0,IFERROR(INDEX(#REF!,MATCH(T353,#REF!,0))*U353,0))</f>
        <v>0</v>
      </c>
      <c r="W353" s="7"/>
      <c r="X353" s="74"/>
      <c r="Y353" s="101">
        <f>IF(OR(W353="",X353=""),0,IFERROR(INDEX(#REF!,MATCH(W353,#REF!,0))*X353,0))</f>
        <v>0</v>
      </c>
      <c r="Z353" s="7"/>
      <c r="AA353" s="74"/>
      <c r="AB353" s="101">
        <f>IF(OR(Z353="",AA353=""),0,IFERROR(INDEX(#REF!,MATCH(Z353,#REF!,0))*AA353,0))</f>
        <v>0</v>
      </c>
      <c r="AC353" s="7"/>
      <c r="AD353" s="74"/>
      <c r="AE353" s="101">
        <f>IF(OR(AC353="",AD353=""),0,IFERROR(INDEX(#REF!,MATCH(AC353,#REF!,0))*AD353,0))</f>
        <v>0</v>
      </c>
      <c r="AF353" s="7"/>
      <c r="AG353" s="74"/>
      <c r="AH353" s="101">
        <f>IF(OR(AF353="",AG353=""),0,IFERROR(INDEX(#REF!,MATCH(AF353,#REF!,0))*AG353,0))</f>
        <v>0</v>
      </c>
      <c r="AI353" s="7"/>
      <c r="AJ353" s="74"/>
      <c r="AK353" s="101">
        <f>IF(OR(AI353="",AJ353=""),0,IFERROR(INDEX(#REF!,MATCH(AI353,#REF!,0))*AJ353,0))</f>
        <v>0</v>
      </c>
      <c r="AL353" s="101">
        <f t="shared" si="51"/>
        <v>0</v>
      </c>
      <c r="AM353" s="7"/>
      <c r="AN353" s="72"/>
      <c r="AO353" s="99">
        <f>IF(OR(AM353="",AN353=""),0,IFERROR(INDEX(#REF!,MATCH(AM353,#REF!,0))*AN353,0))</f>
        <v>0</v>
      </c>
      <c r="AP353" s="7"/>
      <c r="AQ353" s="74"/>
      <c r="AR353" s="99">
        <f>IF(OR(AP353="",AQ353=""),0,IFERROR(INDEX(#REF!,MATCH(AP353,#REF!,0))*AQ353,0))</f>
        <v>0</v>
      </c>
      <c r="AS353" s="7"/>
      <c r="AT353" s="74"/>
      <c r="AU353" s="99">
        <f>IF(OR(AS353="",AT353=""),0,IFERROR(INDEX(#REF!,MATCH(AS353,#REF!,0))*AT353,0))</f>
        <v>0</v>
      </c>
      <c r="AV353" s="7"/>
      <c r="AW353" s="74"/>
      <c r="AX353" s="99">
        <f>IF(OR(AV353="",AW353=""),0,IFERROR(INDEX(#REF!,MATCH(AV353,#REF!,0))*AW353,0))</f>
        <v>0</v>
      </c>
      <c r="AY353" s="7"/>
      <c r="AZ353" s="77"/>
      <c r="BA353" s="99">
        <f>IF(OR(AY353="",AZ353=""),0,IFERROR(INDEX(#REF!,MATCH(AY353,#REF!,0))*AZ353,0))</f>
        <v>0</v>
      </c>
      <c r="BB353" s="100">
        <f t="shared" si="52"/>
        <v>0</v>
      </c>
      <c r="BC353" s="110" t="str">
        <f t="shared" si="53"/>
        <v/>
      </c>
      <c r="BD353" s="62"/>
    </row>
    <row r="354" spans="1:56" ht="19.5" customHeight="1" x14ac:dyDescent="0.45">
      <c r="A354" s="104" t="str">
        <f t="shared" si="54"/>
        <v/>
      </c>
      <c r="B354" s="5"/>
      <c r="C354" s="109"/>
      <c r="D354" s="107"/>
      <c r="E354" s="6"/>
      <c r="F354" s="85"/>
      <c r="G354" s="85"/>
      <c r="H354" s="104" t="str">
        <f t="shared" si="46"/>
        <v/>
      </c>
      <c r="I354" s="103" t="str">
        <f>IFERROR(INDEX(#REF!,MATCH(E354,#REF!,0)),"")</f>
        <v/>
      </c>
      <c r="J354" s="6"/>
      <c r="K354" s="103" t="str">
        <f t="shared" si="47"/>
        <v/>
      </c>
      <c r="L354" s="8"/>
      <c r="M354" s="102" t="str">
        <f t="shared" si="48"/>
        <v/>
      </c>
      <c r="N354" s="9"/>
      <c r="O354" s="103" t="str">
        <f t="shared" si="49"/>
        <v/>
      </c>
      <c r="P354" s="6"/>
      <c r="Q354" s="7"/>
      <c r="R354" s="10"/>
      <c r="S354" s="29" t="str">
        <f t="shared" ca="1" si="50"/>
        <v/>
      </c>
      <c r="T354" s="7"/>
      <c r="U354" s="74"/>
      <c r="V354" s="101">
        <f>IF(OR(T354="",U354=""),0,IFERROR(INDEX(#REF!,MATCH(T354,#REF!,0))*U354,0))</f>
        <v>0</v>
      </c>
      <c r="W354" s="7"/>
      <c r="X354" s="74"/>
      <c r="Y354" s="101">
        <f>IF(OR(W354="",X354=""),0,IFERROR(INDEX(#REF!,MATCH(W354,#REF!,0))*X354,0))</f>
        <v>0</v>
      </c>
      <c r="Z354" s="7"/>
      <c r="AA354" s="74"/>
      <c r="AB354" s="101">
        <f>IF(OR(Z354="",AA354=""),0,IFERROR(INDEX(#REF!,MATCH(Z354,#REF!,0))*AA354,0))</f>
        <v>0</v>
      </c>
      <c r="AC354" s="7"/>
      <c r="AD354" s="74"/>
      <c r="AE354" s="101">
        <f>IF(OR(AC354="",AD354=""),0,IFERROR(INDEX(#REF!,MATCH(AC354,#REF!,0))*AD354,0))</f>
        <v>0</v>
      </c>
      <c r="AF354" s="7"/>
      <c r="AG354" s="74"/>
      <c r="AH354" s="101">
        <f>IF(OR(AF354="",AG354=""),0,IFERROR(INDEX(#REF!,MATCH(AF354,#REF!,0))*AG354,0))</f>
        <v>0</v>
      </c>
      <c r="AI354" s="7"/>
      <c r="AJ354" s="74"/>
      <c r="AK354" s="101">
        <f>IF(OR(AI354="",AJ354=""),0,IFERROR(INDEX(#REF!,MATCH(AI354,#REF!,0))*AJ354,0))</f>
        <v>0</v>
      </c>
      <c r="AL354" s="101">
        <f t="shared" si="51"/>
        <v>0</v>
      </c>
      <c r="AM354" s="7"/>
      <c r="AN354" s="72"/>
      <c r="AO354" s="99">
        <f>IF(OR(AM354="",AN354=""),0,IFERROR(INDEX(#REF!,MATCH(AM354,#REF!,0))*AN354,0))</f>
        <v>0</v>
      </c>
      <c r="AP354" s="7"/>
      <c r="AQ354" s="74"/>
      <c r="AR354" s="99">
        <f>IF(OR(AP354="",AQ354=""),0,IFERROR(INDEX(#REF!,MATCH(AP354,#REF!,0))*AQ354,0))</f>
        <v>0</v>
      </c>
      <c r="AS354" s="7"/>
      <c r="AT354" s="74"/>
      <c r="AU354" s="99">
        <f>IF(OR(AS354="",AT354=""),0,IFERROR(INDEX(#REF!,MATCH(AS354,#REF!,0))*AT354,0))</f>
        <v>0</v>
      </c>
      <c r="AV354" s="7"/>
      <c r="AW354" s="74"/>
      <c r="AX354" s="99">
        <f>IF(OR(AV354="",AW354=""),0,IFERROR(INDEX(#REF!,MATCH(AV354,#REF!,0))*AW354,0))</f>
        <v>0</v>
      </c>
      <c r="AY354" s="7"/>
      <c r="AZ354" s="77"/>
      <c r="BA354" s="99">
        <f>IF(OR(AY354="",AZ354=""),0,IFERROR(INDEX(#REF!,MATCH(AY354,#REF!,0))*AZ354,0))</f>
        <v>0</v>
      </c>
      <c r="BB354" s="100">
        <f t="shared" si="52"/>
        <v>0</v>
      </c>
      <c r="BC354" s="110" t="str">
        <f t="shared" si="53"/>
        <v/>
      </c>
      <c r="BD354" s="62"/>
    </row>
    <row r="355" spans="1:56" ht="19.5" customHeight="1" x14ac:dyDescent="0.45">
      <c r="A355" s="104" t="str">
        <f t="shared" si="54"/>
        <v/>
      </c>
      <c r="B355" s="5"/>
      <c r="C355" s="109"/>
      <c r="D355" s="107"/>
      <c r="E355" s="6"/>
      <c r="F355" s="85"/>
      <c r="G355" s="85"/>
      <c r="H355" s="104" t="str">
        <f t="shared" si="46"/>
        <v/>
      </c>
      <c r="I355" s="103" t="str">
        <f>IFERROR(INDEX(#REF!,MATCH(E355,#REF!,0)),"")</f>
        <v/>
      </c>
      <c r="J355" s="6"/>
      <c r="K355" s="103" t="str">
        <f t="shared" si="47"/>
        <v/>
      </c>
      <c r="L355" s="8"/>
      <c r="M355" s="102" t="str">
        <f t="shared" si="48"/>
        <v/>
      </c>
      <c r="N355" s="9"/>
      <c r="O355" s="103" t="str">
        <f t="shared" si="49"/>
        <v/>
      </c>
      <c r="P355" s="6"/>
      <c r="Q355" s="7"/>
      <c r="R355" s="10"/>
      <c r="S355" s="29" t="str">
        <f t="shared" ca="1" si="50"/>
        <v/>
      </c>
      <c r="T355" s="7"/>
      <c r="U355" s="74"/>
      <c r="V355" s="101">
        <f>IF(OR(T355="",U355=""),0,IFERROR(INDEX(#REF!,MATCH(T355,#REF!,0))*U355,0))</f>
        <v>0</v>
      </c>
      <c r="W355" s="7"/>
      <c r="X355" s="74"/>
      <c r="Y355" s="101">
        <f>IF(OR(W355="",X355=""),0,IFERROR(INDEX(#REF!,MATCH(W355,#REF!,0))*X355,0))</f>
        <v>0</v>
      </c>
      <c r="Z355" s="7"/>
      <c r="AA355" s="74"/>
      <c r="AB355" s="101">
        <f>IF(OR(Z355="",AA355=""),0,IFERROR(INDEX(#REF!,MATCH(Z355,#REF!,0))*AA355,0))</f>
        <v>0</v>
      </c>
      <c r="AC355" s="7"/>
      <c r="AD355" s="74"/>
      <c r="AE355" s="101">
        <f>IF(OR(AC355="",AD355=""),0,IFERROR(INDEX(#REF!,MATCH(AC355,#REF!,0))*AD355,0))</f>
        <v>0</v>
      </c>
      <c r="AF355" s="7"/>
      <c r="AG355" s="74"/>
      <c r="AH355" s="101">
        <f>IF(OR(AF355="",AG355=""),0,IFERROR(INDEX(#REF!,MATCH(AF355,#REF!,0))*AG355,0))</f>
        <v>0</v>
      </c>
      <c r="AI355" s="7"/>
      <c r="AJ355" s="74"/>
      <c r="AK355" s="101">
        <f>IF(OR(AI355="",AJ355=""),0,IFERROR(INDEX(#REF!,MATCH(AI355,#REF!,0))*AJ355,0))</f>
        <v>0</v>
      </c>
      <c r="AL355" s="101">
        <f t="shared" si="51"/>
        <v>0</v>
      </c>
      <c r="AM355" s="7"/>
      <c r="AN355" s="72"/>
      <c r="AO355" s="99">
        <f>IF(OR(AM355="",AN355=""),0,IFERROR(INDEX(#REF!,MATCH(AM355,#REF!,0))*AN355,0))</f>
        <v>0</v>
      </c>
      <c r="AP355" s="7"/>
      <c r="AQ355" s="74"/>
      <c r="AR355" s="99">
        <f>IF(OR(AP355="",AQ355=""),0,IFERROR(INDEX(#REF!,MATCH(AP355,#REF!,0))*AQ355,0))</f>
        <v>0</v>
      </c>
      <c r="AS355" s="7"/>
      <c r="AT355" s="74"/>
      <c r="AU355" s="99">
        <f>IF(OR(AS355="",AT355=""),0,IFERROR(INDEX(#REF!,MATCH(AS355,#REF!,0))*AT355,0))</f>
        <v>0</v>
      </c>
      <c r="AV355" s="7"/>
      <c r="AW355" s="74"/>
      <c r="AX355" s="99">
        <f>IF(OR(AV355="",AW355=""),0,IFERROR(INDEX(#REF!,MATCH(AV355,#REF!,0))*AW355,0))</f>
        <v>0</v>
      </c>
      <c r="AY355" s="7"/>
      <c r="AZ355" s="77"/>
      <c r="BA355" s="99">
        <f>IF(OR(AY355="",AZ355=""),0,IFERROR(INDEX(#REF!,MATCH(AY355,#REF!,0))*AZ355,0))</f>
        <v>0</v>
      </c>
      <c r="BB355" s="100">
        <f t="shared" si="52"/>
        <v>0</v>
      </c>
      <c r="BC355" s="110" t="str">
        <f t="shared" si="53"/>
        <v/>
      </c>
      <c r="BD355" s="62"/>
    </row>
    <row r="356" spans="1:56" ht="19.5" customHeight="1" x14ac:dyDescent="0.45">
      <c r="A356" s="104" t="str">
        <f t="shared" si="54"/>
        <v/>
      </c>
      <c r="B356" s="5"/>
      <c r="C356" s="109"/>
      <c r="D356" s="107"/>
      <c r="E356" s="6"/>
      <c r="F356" s="85"/>
      <c r="G356" s="85"/>
      <c r="H356" s="104" t="str">
        <f t="shared" si="46"/>
        <v/>
      </c>
      <c r="I356" s="103" t="str">
        <f>IFERROR(INDEX(#REF!,MATCH(E356,#REF!,0)),"")</f>
        <v/>
      </c>
      <c r="J356" s="6"/>
      <c r="K356" s="103" t="str">
        <f t="shared" si="47"/>
        <v/>
      </c>
      <c r="L356" s="8"/>
      <c r="M356" s="102" t="str">
        <f t="shared" si="48"/>
        <v/>
      </c>
      <c r="N356" s="9"/>
      <c r="O356" s="103" t="str">
        <f t="shared" si="49"/>
        <v/>
      </c>
      <c r="P356" s="6"/>
      <c r="Q356" s="7"/>
      <c r="R356" s="10"/>
      <c r="S356" s="29" t="str">
        <f t="shared" ca="1" si="50"/>
        <v/>
      </c>
      <c r="T356" s="7"/>
      <c r="U356" s="74"/>
      <c r="V356" s="101">
        <f>IF(OR(T356="",U356=""),0,IFERROR(INDEX(#REF!,MATCH(T356,#REF!,0))*U356,0))</f>
        <v>0</v>
      </c>
      <c r="W356" s="7"/>
      <c r="X356" s="74"/>
      <c r="Y356" s="101">
        <f>IF(OR(W356="",X356=""),0,IFERROR(INDEX(#REF!,MATCH(W356,#REF!,0))*X356,0))</f>
        <v>0</v>
      </c>
      <c r="Z356" s="7"/>
      <c r="AA356" s="74"/>
      <c r="AB356" s="101">
        <f>IF(OR(Z356="",AA356=""),0,IFERROR(INDEX(#REF!,MATCH(Z356,#REF!,0))*AA356,0))</f>
        <v>0</v>
      </c>
      <c r="AC356" s="7"/>
      <c r="AD356" s="74"/>
      <c r="AE356" s="101">
        <f>IF(OR(AC356="",AD356=""),0,IFERROR(INDEX(#REF!,MATCH(AC356,#REF!,0))*AD356,0))</f>
        <v>0</v>
      </c>
      <c r="AF356" s="7"/>
      <c r="AG356" s="74"/>
      <c r="AH356" s="101">
        <f>IF(OR(AF356="",AG356=""),0,IFERROR(INDEX(#REF!,MATCH(AF356,#REF!,0))*AG356,0))</f>
        <v>0</v>
      </c>
      <c r="AI356" s="7"/>
      <c r="AJ356" s="74"/>
      <c r="AK356" s="101">
        <f>IF(OR(AI356="",AJ356=""),0,IFERROR(INDEX(#REF!,MATCH(AI356,#REF!,0))*AJ356,0))</f>
        <v>0</v>
      </c>
      <c r="AL356" s="101">
        <f t="shared" si="51"/>
        <v>0</v>
      </c>
      <c r="AM356" s="7"/>
      <c r="AN356" s="72"/>
      <c r="AO356" s="99">
        <f>IF(OR(AM356="",AN356=""),0,IFERROR(INDEX(#REF!,MATCH(AM356,#REF!,0))*AN356,0))</f>
        <v>0</v>
      </c>
      <c r="AP356" s="7"/>
      <c r="AQ356" s="74"/>
      <c r="AR356" s="99">
        <f>IF(OR(AP356="",AQ356=""),0,IFERROR(INDEX(#REF!,MATCH(AP356,#REF!,0))*AQ356,0))</f>
        <v>0</v>
      </c>
      <c r="AS356" s="7"/>
      <c r="AT356" s="74"/>
      <c r="AU356" s="99">
        <f>IF(OR(AS356="",AT356=""),0,IFERROR(INDEX(#REF!,MATCH(AS356,#REF!,0))*AT356,0))</f>
        <v>0</v>
      </c>
      <c r="AV356" s="7"/>
      <c r="AW356" s="74"/>
      <c r="AX356" s="99">
        <f>IF(OR(AV356="",AW356=""),0,IFERROR(INDEX(#REF!,MATCH(AV356,#REF!,0))*AW356,0))</f>
        <v>0</v>
      </c>
      <c r="AY356" s="7"/>
      <c r="AZ356" s="77"/>
      <c r="BA356" s="99">
        <f>IF(OR(AY356="",AZ356=""),0,IFERROR(INDEX(#REF!,MATCH(AY356,#REF!,0))*AZ356,0))</f>
        <v>0</v>
      </c>
      <c r="BB356" s="100">
        <f t="shared" si="52"/>
        <v>0</v>
      </c>
      <c r="BC356" s="110" t="str">
        <f t="shared" si="53"/>
        <v/>
      </c>
      <c r="BD356" s="62"/>
    </row>
    <row r="357" spans="1:56" ht="19.5" customHeight="1" x14ac:dyDescent="0.45">
      <c r="A357" s="104" t="str">
        <f t="shared" si="54"/>
        <v/>
      </c>
      <c r="B357" s="5"/>
      <c r="C357" s="109"/>
      <c r="D357" s="107"/>
      <c r="E357" s="6"/>
      <c r="F357" s="85"/>
      <c r="G357" s="85"/>
      <c r="H357" s="104" t="str">
        <f t="shared" si="46"/>
        <v/>
      </c>
      <c r="I357" s="103" t="str">
        <f>IFERROR(INDEX(#REF!,MATCH(E357,#REF!,0)),"")</f>
        <v/>
      </c>
      <c r="J357" s="6"/>
      <c r="K357" s="103" t="str">
        <f t="shared" si="47"/>
        <v/>
      </c>
      <c r="L357" s="8"/>
      <c r="M357" s="102" t="str">
        <f t="shared" si="48"/>
        <v/>
      </c>
      <c r="N357" s="9"/>
      <c r="O357" s="103" t="str">
        <f t="shared" si="49"/>
        <v/>
      </c>
      <c r="P357" s="6"/>
      <c r="Q357" s="7"/>
      <c r="R357" s="10"/>
      <c r="S357" s="29" t="str">
        <f t="shared" ca="1" si="50"/>
        <v/>
      </c>
      <c r="T357" s="7"/>
      <c r="U357" s="74"/>
      <c r="V357" s="101">
        <f>IF(OR(T357="",U357=""),0,IFERROR(INDEX(#REF!,MATCH(T357,#REF!,0))*U357,0))</f>
        <v>0</v>
      </c>
      <c r="W357" s="7"/>
      <c r="X357" s="74"/>
      <c r="Y357" s="101">
        <f>IF(OR(W357="",X357=""),0,IFERROR(INDEX(#REF!,MATCH(W357,#REF!,0))*X357,0))</f>
        <v>0</v>
      </c>
      <c r="Z357" s="7"/>
      <c r="AA357" s="74"/>
      <c r="AB357" s="101">
        <f>IF(OR(Z357="",AA357=""),0,IFERROR(INDEX(#REF!,MATCH(Z357,#REF!,0))*AA357,0))</f>
        <v>0</v>
      </c>
      <c r="AC357" s="7"/>
      <c r="AD357" s="74"/>
      <c r="AE357" s="101">
        <f>IF(OR(AC357="",AD357=""),0,IFERROR(INDEX(#REF!,MATCH(AC357,#REF!,0))*AD357,0))</f>
        <v>0</v>
      </c>
      <c r="AF357" s="7"/>
      <c r="AG357" s="74"/>
      <c r="AH357" s="101">
        <f>IF(OR(AF357="",AG357=""),0,IFERROR(INDEX(#REF!,MATCH(AF357,#REF!,0))*AG357,0))</f>
        <v>0</v>
      </c>
      <c r="AI357" s="7"/>
      <c r="AJ357" s="74"/>
      <c r="AK357" s="101">
        <f>IF(OR(AI357="",AJ357=""),0,IFERROR(INDEX(#REF!,MATCH(AI357,#REF!,0))*AJ357,0))</f>
        <v>0</v>
      </c>
      <c r="AL357" s="101">
        <f t="shared" si="51"/>
        <v>0</v>
      </c>
      <c r="AM357" s="7"/>
      <c r="AN357" s="72"/>
      <c r="AO357" s="99">
        <f>IF(OR(AM357="",AN357=""),0,IFERROR(INDEX(#REF!,MATCH(AM357,#REF!,0))*AN357,0))</f>
        <v>0</v>
      </c>
      <c r="AP357" s="7"/>
      <c r="AQ357" s="74"/>
      <c r="AR357" s="99">
        <f>IF(OR(AP357="",AQ357=""),0,IFERROR(INDEX(#REF!,MATCH(AP357,#REF!,0))*AQ357,0))</f>
        <v>0</v>
      </c>
      <c r="AS357" s="7"/>
      <c r="AT357" s="74"/>
      <c r="AU357" s="99">
        <f>IF(OR(AS357="",AT357=""),0,IFERROR(INDEX(#REF!,MATCH(AS357,#REF!,0))*AT357,0))</f>
        <v>0</v>
      </c>
      <c r="AV357" s="7"/>
      <c r="AW357" s="74"/>
      <c r="AX357" s="99">
        <f>IF(OR(AV357="",AW357=""),0,IFERROR(INDEX(#REF!,MATCH(AV357,#REF!,0))*AW357,0))</f>
        <v>0</v>
      </c>
      <c r="AY357" s="7"/>
      <c r="AZ357" s="77"/>
      <c r="BA357" s="99">
        <f>IF(OR(AY357="",AZ357=""),0,IFERROR(INDEX(#REF!,MATCH(AY357,#REF!,0))*AZ357,0))</f>
        <v>0</v>
      </c>
      <c r="BB357" s="100">
        <f t="shared" si="52"/>
        <v>0</v>
      </c>
      <c r="BC357" s="110" t="str">
        <f t="shared" si="53"/>
        <v/>
      </c>
      <c r="BD357" s="62"/>
    </row>
    <row r="358" spans="1:56" ht="19.5" customHeight="1" x14ac:dyDescent="0.45">
      <c r="A358" s="104" t="str">
        <f t="shared" si="54"/>
        <v/>
      </c>
      <c r="B358" s="5"/>
      <c r="C358" s="109"/>
      <c r="D358" s="107"/>
      <c r="E358" s="6"/>
      <c r="F358" s="85"/>
      <c r="G358" s="85"/>
      <c r="H358" s="104" t="str">
        <f t="shared" si="46"/>
        <v/>
      </c>
      <c r="I358" s="103" t="str">
        <f>IFERROR(INDEX(#REF!,MATCH(E358,#REF!,0)),"")</f>
        <v/>
      </c>
      <c r="J358" s="6"/>
      <c r="K358" s="103" t="str">
        <f t="shared" si="47"/>
        <v/>
      </c>
      <c r="L358" s="8"/>
      <c r="M358" s="102" t="str">
        <f t="shared" si="48"/>
        <v/>
      </c>
      <c r="N358" s="9"/>
      <c r="O358" s="103" t="str">
        <f t="shared" si="49"/>
        <v/>
      </c>
      <c r="P358" s="6"/>
      <c r="Q358" s="7"/>
      <c r="R358" s="10"/>
      <c r="S358" s="29" t="str">
        <f t="shared" ca="1" si="50"/>
        <v/>
      </c>
      <c r="T358" s="7"/>
      <c r="U358" s="74"/>
      <c r="V358" s="101">
        <f>IF(OR(T358="",U358=""),0,IFERROR(INDEX(#REF!,MATCH(T358,#REF!,0))*U358,0))</f>
        <v>0</v>
      </c>
      <c r="W358" s="7"/>
      <c r="X358" s="74"/>
      <c r="Y358" s="101">
        <f>IF(OR(W358="",X358=""),0,IFERROR(INDEX(#REF!,MATCH(W358,#REF!,0))*X358,0))</f>
        <v>0</v>
      </c>
      <c r="Z358" s="7"/>
      <c r="AA358" s="74"/>
      <c r="AB358" s="101">
        <f>IF(OR(Z358="",AA358=""),0,IFERROR(INDEX(#REF!,MATCH(Z358,#REF!,0))*AA358,0))</f>
        <v>0</v>
      </c>
      <c r="AC358" s="7"/>
      <c r="AD358" s="74"/>
      <c r="AE358" s="101">
        <f>IF(OR(AC358="",AD358=""),0,IFERROR(INDEX(#REF!,MATCH(AC358,#REF!,0))*AD358,0))</f>
        <v>0</v>
      </c>
      <c r="AF358" s="7"/>
      <c r="AG358" s="74"/>
      <c r="AH358" s="101">
        <f>IF(OR(AF358="",AG358=""),0,IFERROR(INDEX(#REF!,MATCH(AF358,#REF!,0))*AG358,0))</f>
        <v>0</v>
      </c>
      <c r="AI358" s="7"/>
      <c r="AJ358" s="74"/>
      <c r="AK358" s="101">
        <f>IF(OR(AI358="",AJ358=""),0,IFERROR(INDEX(#REF!,MATCH(AI358,#REF!,0))*AJ358,0))</f>
        <v>0</v>
      </c>
      <c r="AL358" s="101">
        <f t="shared" si="51"/>
        <v>0</v>
      </c>
      <c r="AM358" s="7"/>
      <c r="AN358" s="72"/>
      <c r="AO358" s="99">
        <f>IF(OR(AM358="",AN358=""),0,IFERROR(INDEX(#REF!,MATCH(AM358,#REF!,0))*AN358,0))</f>
        <v>0</v>
      </c>
      <c r="AP358" s="7"/>
      <c r="AQ358" s="74"/>
      <c r="AR358" s="99">
        <f>IF(OR(AP358="",AQ358=""),0,IFERROR(INDEX(#REF!,MATCH(AP358,#REF!,0))*AQ358,0))</f>
        <v>0</v>
      </c>
      <c r="AS358" s="7"/>
      <c r="AT358" s="74"/>
      <c r="AU358" s="99">
        <f>IF(OR(AS358="",AT358=""),0,IFERROR(INDEX(#REF!,MATCH(AS358,#REF!,0))*AT358,0))</f>
        <v>0</v>
      </c>
      <c r="AV358" s="7"/>
      <c r="AW358" s="74"/>
      <c r="AX358" s="99">
        <f>IF(OR(AV358="",AW358=""),0,IFERROR(INDEX(#REF!,MATCH(AV358,#REF!,0))*AW358,0))</f>
        <v>0</v>
      </c>
      <c r="AY358" s="7"/>
      <c r="AZ358" s="77"/>
      <c r="BA358" s="99">
        <f>IF(OR(AY358="",AZ358=""),0,IFERROR(INDEX(#REF!,MATCH(AY358,#REF!,0))*AZ358,0))</f>
        <v>0</v>
      </c>
      <c r="BB358" s="100">
        <f t="shared" si="52"/>
        <v>0</v>
      </c>
      <c r="BC358" s="110" t="str">
        <f t="shared" si="53"/>
        <v/>
      </c>
      <c r="BD358" s="62"/>
    </row>
    <row r="359" spans="1:56" ht="19.5" customHeight="1" x14ac:dyDescent="0.45">
      <c r="A359" s="104" t="str">
        <f t="shared" si="54"/>
        <v/>
      </c>
      <c r="B359" s="5"/>
      <c r="C359" s="109"/>
      <c r="D359" s="107"/>
      <c r="E359" s="6"/>
      <c r="F359" s="85"/>
      <c r="G359" s="85"/>
      <c r="H359" s="104" t="str">
        <f t="shared" si="46"/>
        <v/>
      </c>
      <c r="I359" s="103" t="str">
        <f>IFERROR(INDEX(#REF!,MATCH(E359,#REF!,0)),"")</f>
        <v/>
      </c>
      <c r="J359" s="6"/>
      <c r="K359" s="103" t="str">
        <f t="shared" si="47"/>
        <v/>
      </c>
      <c r="L359" s="8"/>
      <c r="M359" s="102" t="str">
        <f t="shared" si="48"/>
        <v/>
      </c>
      <c r="N359" s="9"/>
      <c r="O359" s="103" t="str">
        <f t="shared" si="49"/>
        <v/>
      </c>
      <c r="P359" s="6"/>
      <c r="Q359" s="7"/>
      <c r="R359" s="10"/>
      <c r="S359" s="29" t="str">
        <f t="shared" ca="1" si="50"/>
        <v/>
      </c>
      <c r="T359" s="7"/>
      <c r="U359" s="74"/>
      <c r="V359" s="101">
        <f>IF(OR(T359="",U359=""),0,IFERROR(INDEX(#REF!,MATCH(T359,#REF!,0))*U359,0))</f>
        <v>0</v>
      </c>
      <c r="W359" s="7"/>
      <c r="X359" s="74"/>
      <c r="Y359" s="101">
        <f>IF(OR(W359="",X359=""),0,IFERROR(INDEX(#REF!,MATCH(W359,#REF!,0))*X359,0))</f>
        <v>0</v>
      </c>
      <c r="Z359" s="7"/>
      <c r="AA359" s="74"/>
      <c r="AB359" s="101">
        <f>IF(OR(Z359="",AA359=""),0,IFERROR(INDEX(#REF!,MATCH(Z359,#REF!,0))*AA359,0))</f>
        <v>0</v>
      </c>
      <c r="AC359" s="7"/>
      <c r="AD359" s="74"/>
      <c r="AE359" s="101">
        <f>IF(OR(AC359="",AD359=""),0,IFERROR(INDEX(#REF!,MATCH(AC359,#REF!,0))*AD359,0))</f>
        <v>0</v>
      </c>
      <c r="AF359" s="7"/>
      <c r="AG359" s="74"/>
      <c r="AH359" s="101">
        <f>IF(OR(AF359="",AG359=""),0,IFERROR(INDEX(#REF!,MATCH(AF359,#REF!,0))*AG359,0))</f>
        <v>0</v>
      </c>
      <c r="AI359" s="7"/>
      <c r="AJ359" s="74"/>
      <c r="AK359" s="101">
        <f>IF(OR(AI359="",AJ359=""),0,IFERROR(INDEX(#REF!,MATCH(AI359,#REF!,0))*AJ359,0))</f>
        <v>0</v>
      </c>
      <c r="AL359" s="101">
        <f t="shared" si="51"/>
        <v>0</v>
      </c>
      <c r="AM359" s="7"/>
      <c r="AN359" s="72"/>
      <c r="AO359" s="99">
        <f>IF(OR(AM359="",AN359=""),0,IFERROR(INDEX(#REF!,MATCH(AM359,#REF!,0))*AN359,0))</f>
        <v>0</v>
      </c>
      <c r="AP359" s="7"/>
      <c r="AQ359" s="74"/>
      <c r="AR359" s="99">
        <f>IF(OR(AP359="",AQ359=""),0,IFERROR(INDEX(#REF!,MATCH(AP359,#REF!,0))*AQ359,0))</f>
        <v>0</v>
      </c>
      <c r="AS359" s="7"/>
      <c r="AT359" s="74"/>
      <c r="AU359" s="99">
        <f>IF(OR(AS359="",AT359=""),0,IFERROR(INDEX(#REF!,MATCH(AS359,#REF!,0))*AT359,0))</f>
        <v>0</v>
      </c>
      <c r="AV359" s="7"/>
      <c r="AW359" s="74"/>
      <c r="AX359" s="99">
        <f>IF(OR(AV359="",AW359=""),0,IFERROR(INDEX(#REF!,MATCH(AV359,#REF!,0))*AW359,0))</f>
        <v>0</v>
      </c>
      <c r="AY359" s="7"/>
      <c r="AZ359" s="77"/>
      <c r="BA359" s="99">
        <f>IF(OR(AY359="",AZ359=""),0,IFERROR(INDEX(#REF!,MATCH(AY359,#REF!,0))*AZ359,0))</f>
        <v>0</v>
      </c>
      <c r="BB359" s="100">
        <f t="shared" si="52"/>
        <v>0</v>
      </c>
      <c r="BC359" s="110" t="str">
        <f t="shared" si="53"/>
        <v/>
      </c>
      <c r="BD359" s="62"/>
    </row>
    <row r="360" spans="1:56" ht="19.5" customHeight="1" x14ac:dyDescent="0.45">
      <c r="A360" s="104" t="str">
        <f t="shared" si="54"/>
        <v/>
      </c>
      <c r="B360" s="5"/>
      <c r="C360" s="109"/>
      <c r="D360" s="107"/>
      <c r="E360" s="6"/>
      <c r="F360" s="85"/>
      <c r="G360" s="85"/>
      <c r="H360" s="104" t="str">
        <f t="shared" si="46"/>
        <v/>
      </c>
      <c r="I360" s="103" t="str">
        <f>IFERROR(INDEX(#REF!,MATCH(E360,#REF!,0)),"")</f>
        <v/>
      </c>
      <c r="J360" s="6"/>
      <c r="K360" s="103" t="str">
        <f t="shared" si="47"/>
        <v/>
      </c>
      <c r="L360" s="8"/>
      <c r="M360" s="102" t="str">
        <f t="shared" si="48"/>
        <v/>
      </c>
      <c r="N360" s="9"/>
      <c r="O360" s="103" t="str">
        <f t="shared" si="49"/>
        <v/>
      </c>
      <c r="P360" s="6"/>
      <c r="Q360" s="7"/>
      <c r="R360" s="10"/>
      <c r="S360" s="29" t="str">
        <f t="shared" ca="1" si="50"/>
        <v/>
      </c>
      <c r="T360" s="7"/>
      <c r="U360" s="74"/>
      <c r="V360" s="101">
        <f>IF(OR(T360="",U360=""),0,IFERROR(INDEX(#REF!,MATCH(T360,#REF!,0))*U360,0))</f>
        <v>0</v>
      </c>
      <c r="W360" s="7"/>
      <c r="X360" s="74"/>
      <c r="Y360" s="101">
        <f>IF(OR(W360="",X360=""),0,IFERROR(INDEX(#REF!,MATCH(W360,#REF!,0))*X360,0))</f>
        <v>0</v>
      </c>
      <c r="Z360" s="7"/>
      <c r="AA360" s="74"/>
      <c r="AB360" s="101">
        <f>IF(OR(Z360="",AA360=""),0,IFERROR(INDEX(#REF!,MATCH(Z360,#REF!,0))*AA360,0))</f>
        <v>0</v>
      </c>
      <c r="AC360" s="7"/>
      <c r="AD360" s="74"/>
      <c r="AE360" s="101">
        <f>IF(OR(AC360="",AD360=""),0,IFERROR(INDEX(#REF!,MATCH(AC360,#REF!,0))*AD360,0))</f>
        <v>0</v>
      </c>
      <c r="AF360" s="7"/>
      <c r="AG360" s="74"/>
      <c r="AH360" s="101">
        <f>IF(OR(AF360="",AG360=""),0,IFERROR(INDEX(#REF!,MATCH(AF360,#REF!,0))*AG360,0))</f>
        <v>0</v>
      </c>
      <c r="AI360" s="7"/>
      <c r="AJ360" s="74"/>
      <c r="AK360" s="101">
        <f>IF(OR(AI360="",AJ360=""),0,IFERROR(INDEX(#REF!,MATCH(AI360,#REF!,0))*AJ360,0))</f>
        <v>0</v>
      </c>
      <c r="AL360" s="101">
        <f t="shared" si="51"/>
        <v>0</v>
      </c>
      <c r="AM360" s="7"/>
      <c r="AN360" s="72"/>
      <c r="AO360" s="99">
        <f>IF(OR(AM360="",AN360=""),0,IFERROR(INDEX(#REF!,MATCH(AM360,#REF!,0))*AN360,0))</f>
        <v>0</v>
      </c>
      <c r="AP360" s="7"/>
      <c r="AQ360" s="74"/>
      <c r="AR360" s="99">
        <f>IF(OR(AP360="",AQ360=""),0,IFERROR(INDEX(#REF!,MATCH(AP360,#REF!,0))*AQ360,0))</f>
        <v>0</v>
      </c>
      <c r="AS360" s="7"/>
      <c r="AT360" s="74"/>
      <c r="AU360" s="99">
        <f>IF(OR(AS360="",AT360=""),0,IFERROR(INDEX(#REF!,MATCH(AS360,#REF!,0))*AT360,0))</f>
        <v>0</v>
      </c>
      <c r="AV360" s="7"/>
      <c r="AW360" s="74"/>
      <c r="AX360" s="99">
        <f>IF(OR(AV360="",AW360=""),0,IFERROR(INDEX(#REF!,MATCH(AV360,#REF!,0))*AW360,0))</f>
        <v>0</v>
      </c>
      <c r="AY360" s="7"/>
      <c r="AZ360" s="77"/>
      <c r="BA360" s="99">
        <f>IF(OR(AY360="",AZ360=""),0,IFERROR(INDEX(#REF!,MATCH(AY360,#REF!,0))*AZ360,0))</f>
        <v>0</v>
      </c>
      <c r="BB360" s="100">
        <f t="shared" si="52"/>
        <v>0</v>
      </c>
      <c r="BC360" s="110" t="str">
        <f t="shared" si="53"/>
        <v/>
      </c>
      <c r="BD360" s="62"/>
    </row>
    <row r="361" spans="1:56" ht="19.5" customHeight="1" x14ac:dyDescent="0.45">
      <c r="A361" s="104" t="str">
        <f t="shared" si="54"/>
        <v/>
      </c>
      <c r="B361" s="5"/>
      <c r="C361" s="109"/>
      <c r="D361" s="107"/>
      <c r="E361" s="6"/>
      <c r="F361" s="85"/>
      <c r="G361" s="85"/>
      <c r="H361" s="104" t="str">
        <f t="shared" si="46"/>
        <v/>
      </c>
      <c r="I361" s="103" t="str">
        <f>IFERROR(INDEX(#REF!,MATCH(E361,#REF!,0)),"")</f>
        <v/>
      </c>
      <c r="J361" s="6"/>
      <c r="K361" s="103" t="str">
        <f t="shared" si="47"/>
        <v/>
      </c>
      <c r="L361" s="8"/>
      <c r="M361" s="102" t="str">
        <f t="shared" si="48"/>
        <v/>
      </c>
      <c r="N361" s="9"/>
      <c r="O361" s="103" t="str">
        <f t="shared" si="49"/>
        <v/>
      </c>
      <c r="P361" s="6"/>
      <c r="Q361" s="7"/>
      <c r="R361" s="10"/>
      <c r="S361" s="29" t="str">
        <f t="shared" ca="1" si="50"/>
        <v/>
      </c>
      <c r="T361" s="7"/>
      <c r="U361" s="74"/>
      <c r="V361" s="101">
        <f>IF(OR(T361="",U361=""),0,IFERROR(INDEX(#REF!,MATCH(T361,#REF!,0))*U361,0))</f>
        <v>0</v>
      </c>
      <c r="W361" s="7"/>
      <c r="X361" s="74"/>
      <c r="Y361" s="101">
        <f>IF(OR(W361="",X361=""),0,IFERROR(INDEX(#REF!,MATCH(W361,#REF!,0))*X361,0))</f>
        <v>0</v>
      </c>
      <c r="Z361" s="7"/>
      <c r="AA361" s="74"/>
      <c r="AB361" s="101">
        <f>IF(OR(Z361="",AA361=""),0,IFERROR(INDEX(#REF!,MATCH(Z361,#REF!,0))*AA361,0))</f>
        <v>0</v>
      </c>
      <c r="AC361" s="7"/>
      <c r="AD361" s="74"/>
      <c r="AE361" s="101">
        <f>IF(OR(AC361="",AD361=""),0,IFERROR(INDEX(#REF!,MATCH(AC361,#REF!,0))*AD361,0))</f>
        <v>0</v>
      </c>
      <c r="AF361" s="7"/>
      <c r="AG361" s="74"/>
      <c r="AH361" s="101">
        <f>IF(OR(AF361="",AG361=""),0,IFERROR(INDEX(#REF!,MATCH(AF361,#REF!,0))*AG361,0))</f>
        <v>0</v>
      </c>
      <c r="AI361" s="7"/>
      <c r="AJ361" s="74"/>
      <c r="AK361" s="101">
        <f>IF(OR(AI361="",AJ361=""),0,IFERROR(INDEX(#REF!,MATCH(AI361,#REF!,0))*AJ361,0))</f>
        <v>0</v>
      </c>
      <c r="AL361" s="101">
        <f t="shared" si="51"/>
        <v>0</v>
      </c>
      <c r="AM361" s="7"/>
      <c r="AN361" s="72"/>
      <c r="AO361" s="99">
        <f>IF(OR(AM361="",AN361=""),0,IFERROR(INDEX(#REF!,MATCH(AM361,#REF!,0))*AN361,0))</f>
        <v>0</v>
      </c>
      <c r="AP361" s="7"/>
      <c r="AQ361" s="74"/>
      <c r="AR361" s="99">
        <f>IF(OR(AP361="",AQ361=""),0,IFERROR(INDEX(#REF!,MATCH(AP361,#REF!,0))*AQ361,0))</f>
        <v>0</v>
      </c>
      <c r="AS361" s="7"/>
      <c r="AT361" s="74"/>
      <c r="AU361" s="99">
        <f>IF(OR(AS361="",AT361=""),0,IFERROR(INDEX(#REF!,MATCH(AS361,#REF!,0))*AT361,0))</f>
        <v>0</v>
      </c>
      <c r="AV361" s="7"/>
      <c r="AW361" s="74"/>
      <c r="AX361" s="99">
        <f>IF(OR(AV361="",AW361=""),0,IFERROR(INDEX(#REF!,MATCH(AV361,#REF!,0))*AW361,0))</f>
        <v>0</v>
      </c>
      <c r="AY361" s="7"/>
      <c r="AZ361" s="77"/>
      <c r="BA361" s="99">
        <f>IF(OR(AY361="",AZ361=""),0,IFERROR(INDEX(#REF!,MATCH(AY361,#REF!,0))*AZ361,0))</f>
        <v>0</v>
      </c>
      <c r="BB361" s="100">
        <f t="shared" si="52"/>
        <v>0</v>
      </c>
      <c r="BC361" s="110" t="str">
        <f t="shared" si="53"/>
        <v/>
      </c>
      <c r="BD361" s="62"/>
    </row>
    <row r="362" spans="1:56" ht="19.5" customHeight="1" x14ac:dyDescent="0.45">
      <c r="A362" s="104" t="str">
        <f t="shared" si="54"/>
        <v/>
      </c>
      <c r="B362" s="5"/>
      <c r="C362" s="109"/>
      <c r="D362" s="107"/>
      <c r="E362" s="6"/>
      <c r="F362" s="85"/>
      <c r="G362" s="85"/>
      <c r="H362" s="104" t="str">
        <f t="shared" si="46"/>
        <v/>
      </c>
      <c r="I362" s="103" t="str">
        <f>IFERROR(INDEX(#REF!,MATCH(E362,#REF!,0)),"")</f>
        <v/>
      </c>
      <c r="J362" s="6"/>
      <c r="K362" s="103" t="str">
        <f t="shared" si="47"/>
        <v/>
      </c>
      <c r="L362" s="8"/>
      <c r="M362" s="102" t="str">
        <f t="shared" si="48"/>
        <v/>
      </c>
      <c r="N362" s="9"/>
      <c r="O362" s="103" t="str">
        <f t="shared" si="49"/>
        <v/>
      </c>
      <c r="P362" s="6"/>
      <c r="Q362" s="7"/>
      <c r="R362" s="10"/>
      <c r="S362" s="29" t="str">
        <f t="shared" ca="1" si="50"/>
        <v/>
      </c>
      <c r="T362" s="7"/>
      <c r="U362" s="74"/>
      <c r="V362" s="101">
        <f>IF(OR(T362="",U362=""),0,IFERROR(INDEX(#REF!,MATCH(T362,#REF!,0))*U362,0))</f>
        <v>0</v>
      </c>
      <c r="W362" s="7"/>
      <c r="X362" s="74"/>
      <c r="Y362" s="101">
        <f>IF(OR(W362="",X362=""),0,IFERROR(INDEX(#REF!,MATCH(W362,#REF!,0))*X362,0))</f>
        <v>0</v>
      </c>
      <c r="Z362" s="7"/>
      <c r="AA362" s="74"/>
      <c r="AB362" s="101">
        <f>IF(OR(Z362="",AA362=""),0,IFERROR(INDEX(#REF!,MATCH(Z362,#REF!,0))*AA362,0))</f>
        <v>0</v>
      </c>
      <c r="AC362" s="7"/>
      <c r="AD362" s="74"/>
      <c r="AE362" s="101">
        <f>IF(OR(AC362="",AD362=""),0,IFERROR(INDEX(#REF!,MATCH(AC362,#REF!,0))*AD362,0))</f>
        <v>0</v>
      </c>
      <c r="AF362" s="7"/>
      <c r="AG362" s="74"/>
      <c r="AH362" s="101">
        <f>IF(OR(AF362="",AG362=""),0,IFERROR(INDEX(#REF!,MATCH(AF362,#REF!,0))*AG362,0))</f>
        <v>0</v>
      </c>
      <c r="AI362" s="7"/>
      <c r="AJ362" s="74"/>
      <c r="AK362" s="101">
        <f>IF(OR(AI362="",AJ362=""),0,IFERROR(INDEX(#REF!,MATCH(AI362,#REF!,0))*AJ362,0))</f>
        <v>0</v>
      </c>
      <c r="AL362" s="101">
        <f t="shared" si="51"/>
        <v>0</v>
      </c>
      <c r="AM362" s="7"/>
      <c r="AN362" s="72"/>
      <c r="AO362" s="99">
        <f>IF(OR(AM362="",AN362=""),0,IFERROR(INDEX(#REF!,MATCH(AM362,#REF!,0))*AN362,0))</f>
        <v>0</v>
      </c>
      <c r="AP362" s="7"/>
      <c r="AQ362" s="74"/>
      <c r="AR362" s="99">
        <f>IF(OR(AP362="",AQ362=""),0,IFERROR(INDEX(#REF!,MATCH(AP362,#REF!,0))*AQ362,0))</f>
        <v>0</v>
      </c>
      <c r="AS362" s="7"/>
      <c r="AT362" s="74"/>
      <c r="AU362" s="99">
        <f>IF(OR(AS362="",AT362=""),0,IFERROR(INDEX(#REF!,MATCH(AS362,#REF!,0))*AT362,0))</f>
        <v>0</v>
      </c>
      <c r="AV362" s="7"/>
      <c r="AW362" s="74"/>
      <c r="AX362" s="99">
        <f>IF(OR(AV362="",AW362=""),0,IFERROR(INDEX(#REF!,MATCH(AV362,#REF!,0))*AW362,0))</f>
        <v>0</v>
      </c>
      <c r="AY362" s="7"/>
      <c r="AZ362" s="77"/>
      <c r="BA362" s="99">
        <f>IF(OR(AY362="",AZ362=""),0,IFERROR(INDEX(#REF!,MATCH(AY362,#REF!,0))*AZ362,0))</f>
        <v>0</v>
      </c>
      <c r="BB362" s="100">
        <f t="shared" si="52"/>
        <v>0</v>
      </c>
      <c r="BC362" s="110" t="str">
        <f t="shared" si="53"/>
        <v/>
      </c>
      <c r="BD362" s="62"/>
    </row>
    <row r="363" spans="1:56" ht="19.5" customHeight="1" x14ac:dyDescent="0.45">
      <c r="A363" s="104" t="str">
        <f t="shared" si="54"/>
        <v/>
      </c>
      <c r="B363" s="5"/>
      <c r="C363" s="109"/>
      <c r="D363" s="107"/>
      <c r="E363" s="6"/>
      <c r="F363" s="85"/>
      <c r="G363" s="85"/>
      <c r="H363" s="104" t="str">
        <f t="shared" si="46"/>
        <v/>
      </c>
      <c r="I363" s="103" t="str">
        <f>IFERROR(INDEX(#REF!,MATCH(E363,#REF!,0)),"")</f>
        <v/>
      </c>
      <c r="J363" s="6"/>
      <c r="K363" s="103" t="str">
        <f t="shared" si="47"/>
        <v/>
      </c>
      <c r="L363" s="8"/>
      <c r="M363" s="102" t="str">
        <f t="shared" si="48"/>
        <v/>
      </c>
      <c r="N363" s="9"/>
      <c r="O363" s="103" t="str">
        <f t="shared" si="49"/>
        <v/>
      </c>
      <c r="P363" s="6"/>
      <c r="Q363" s="7"/>
      <c r="R363" s="10"/>
      <c r="S363" s="29" t="str">
        <f t="shared" ca="1" si="50"/>
        <v/>
      </c>
      <c r="T363" s="7"/>
      <c r="U363" s="74"/>
      <c r="V363" s="101">
        <f>IF(OR(T363="",U363=""),0,IFERROR(INDEX(#REF!,MATCH(T363,#REF!,0))*U363,0))</f>
        <v>0</v>
      </c>
      <c r="W363" s="7"/>
      <c r="X363" s="74"/>
      <c r="Y363" s="101">
        <f>IF(OR(W363="",X363=""),0,IFERROR(INDEX(#REF!,MATCH(W363,#REF!,0))*X363,0))</f>
        <v>0</v>
      </c>
      <c r="Z363" s="7"/>
      <c r="AA363" s="74"/>
      <c r="AB363" s="101">
        <f>IF(OR(Z363="",AA363=""),0,IFERROR(INDEX(#REF!,MATCH(Z363,#REF!,0))*AA363,0))</f>
        <v>0</v>
      </c>
      <c r="AC363" s="7"/>
      <c r="AD363" s="74"/>
      <c r="AE363" s="101">
        <f>IF(OR(AC363="",AD363=""),0,IFERROR(INDEX(#REF!,MATCH(AC363,#REF!,0))*AD363,0))</f>
        <v>0</v>
      </c>
      <c r="AF363" s="7"/>
      <c r="AG363" s="74"/>
      <c r="AH363" s="101">
        <f>IF(OR(AF363="",AG363=""),0,IFERROR(INDEX(#REF!,MATCH(AF363,#REF!,0))*AG363,0))</f>
        <v>0</v>
      </c>
      <c r="AI363" s="7"/>
      <c r="AJ363" s="74"/>
      <c r="AK363" s="101">
        <f>IF(OR(AI363="",AJ363=""),0,IFERROR(INDEX(#REF!,MATCH(AI363,#REF!,0))*AJ363,0))</f>
        <v>0</v>
      </c>
      <c r="AL363" s="101">
        <f t="shared" si="51"/>
        <v>0</v>
      </c>
      <c r="AM363" s="7"/>
      <c r="AN363" s="72"/>
      <c r="AO363" s="99">
        <f>IF(OR(AM363="",AN363=""),0,IFERROR(INDEX(#REF!,MATCH(AM363,#REF!,0))*AN363,0))</f>
        <v>0</v>
      </c>
      <c r="AP363" s="7"/>
      <c r="AQ363" s="74"/>
      <c r="AR363" s="99">
        <f>IF(OR(AP363="",AQ363=""),0,IFERROR(INDEX(#REF!,MATCH(AP363,#REF!,0))*AQ363,0))</f>
        <v>0</v>
      </c>
      <c r="AS363" s="7"/>
      <c r="AT363" s="74"/>
      <c r="AU363" s="99">
        <f>IF(OR(AS363="",AT363=""),0,IFERROR(INDEX(#REF!,MATCH(AS363,#REF!,0))*AT363,0))</f>
        <v>0</v>
      </c>
      <c r="AV363" s="7"/>
      <c r="AW363" s="74"/>
      <c r="AX363" s="99">
        <f>IF(OR(AV363="",AW363=""),0,IFERROR(INDEX(#REF!,MATCH(AV363,#REF!,0))*AW363,0))</f>
        <v>0</v>
      </c>
      <c r="AY363" s="7"/>
      <c r="AZ363" s="77"/>
      <c r="BA363" s="99">
        <f>IF(OR(AY363="",AZ363=""),0,IFERROR(INDEX(#REF!,MATCH(AY363,#REF!,0))*AZ363,0))</f>
        <v>0</v>
      </c>
      <c r="BB363" s="100">
        <f t="shared" si="52"/>
        <v>0</v>
      </c>
      <c r="BC363" s="110" t="str">
        <f t="shared" si="53"/>
        <v/>
      </c>
      <c r="BD363" s="62"/>
    </row>
    <row r="364" spans="1:56" ht="19.5" customHeight="1" x14ac:dyDescent="0.45">
      <c r="A364" s="104" t="str">
        <f t="shared" si="54"/>
        <v/>
      </c>
      <c r="B364" s="5"/>
      <c r="C364" s="109"/>
      <c r="D364" s="107"/>
      <c r="E364" s="6"/>
      <c r="F364" s="85"/>
      <c r="G364" s="85"/>
      <c r="H364" s="104" t="str">
        <f t="shared" si="46"/>
        <v/>
      </c>
      <c r="I364" s="103" t="str">
        <f>IFERROR(INDEX(#REF!,MATCH(E364,#REF!,0)),"")</f>
        <v/>
      </c>
      <c r="J364" s="6"/>
      <c r="K364" s="103" t="str">
        <f t="shared" si="47"/>
        <v/>
      </c>
      <c r="L364" s="8"/>
      <c r="M364" s="102" t="str">
        <f t="shared" si="48"/>
        <v/>
      </c>
      <c r="N364" s="9"/>
      <c r="O364" s="103" t="str">
        <f t="shared" si="49"/>
        <v/>
      </c>
      <c r="P364" s="6"/>
      <c r="Q364" s="7"/>
      <c r="R364" s="10"/>
      <c r="S364" s="29" t="str">
        <f t="shared" ca="1" si="50"/>
        <v/>
      </c>
      <c r="T364" s="7"/>
      <c r="U364" s="74"/>
      <c r="V364" s="101">
        <f>IF(OR(T364="",U364=""),0,IFERROR(INDEX(#REF!,MATCH(T364,#REF!,0))*U364,0))</f>
        <v>0</v>
      </c>
      <c r="W364" s="7"/>
      <c r="X364" s="74"/>
      <c r="Y364" s="101">
        <f>IF(OR(W364="",X364=""),0,IFERROR(INDEX(#REF!,MATCH(W364,#REF!,0))*X364,0))</f>
        <v>0</v>
      </c>
      <c r="Z364" s="7"/>
      <c r="AA364" s="74"/>
      <c r="AB364" s="101">
        <f>IF(OR(Z364="",AA364=""),0,IFERROR(INDEX(#REF!,MATCH(Z364,#REF!,0))*AA364,0))</f>
        <v>0</v>
      </c>
      <c r="AC364" s="7"/>
      <c r="AD364" s="74"/>
      <c r="AE364" s="101">
        <f>IF(OR(AC364="",AD364=""),0,IFERROR(INDEX(#REF!,MATCH(AC364,#REF!,0))*AD364,0))</f>
        <v>0</v>
      </c>
      <c r="AF364" s="7"/>
      <c r="AG364" s="74"/>
      <c r="AH364" s="101">
        <f>IF(OR(AF364="",AG364=""),0,IFERROR(INDEX(#REF!,MATCH(AF364,#REF!,0))*AG364,0))</f>
        <v>0</v>
      </c>
      <c r="AI364" s="7"/>
      <c r="AJ364" s="74"/>
      <c r="AK364" s="101">
        <f>IF(OR(AI364="",AJ364=""),0,IFERROR(INDEX(#REF!,MATCH(AI364,#REF!,0))*AJ364,0))</f>
        <v>0</v>
      </c>
      <c r="AL364" s="101">
        <f t="shared" si="51"/>
        <v>0</v>
      </c>
      <c r="AM364" s="7"/>
      <c r="AN364" s="72"/>
      <c r="AO364" s="99">
        <f>IF(OR(AM364="",AN364=""),0,IFERROR(INDEX(#REF!,MATCH(AM364,#REF!,0))*AN364,0))</f>
        <v>0</v>
      </c>
      <c r="AP364" s="7"/>
      <c r="AQ364" s="74"/>
      <c r="AR364" s="99">
        <f>IF(OR(AP364="",AQ364=""),0,IFERROR(INDEX(#REF!,MATCH(AP364,#REF!,0))*AQ364,0))</f>
        <v>0</v>
      </c>
      <c r="AS364" s="7"/>
      <c r="AT364" s="74"/>
      <c r="AU364" s="99">
        <f>IF(OR(AS364="",AT364=""),0,IFERROR(INDEX(#REF!,MATCH(AS364,#REF!,0))*AT364,0))</f>
        <v>0</v>
      </c>
      <c r="AV364" s="7"/>
      <c r="AW364" s="74"/>
      <c r="AX364" s="99">
        <f>IF(OR(AV364="",AW364=""),0,IFERROR(INDEX(#REF!,MATCH(AV364,#REF!,0))*AW364,0))</f>
        <v>0</v>
      </c>
      <c r="AY364" s="7"/>
      <c r="AZ364" s="77"/>
      <c r="BA364" s="99">
        <f>IF(OR(AY364="",AZ364=""),0,IFERROR(INDEX(#REF!,MATCH(AY364,#REF!,0))*AZ364,0))</f>
        <v>0</v>
      </c>
      <c r="BB364" s="100">
        <f t="shared" si="52"/>
        <v>0</v>
      </c>
      <c r="BC364" s="110" t="str">
        <f t="shared" si="53"/>
        <v/>
      </c>
      <c r="BD364" s="62"/>
    </row>
    <row r="365" spans="1:56" ht="19.5" customHeight="1" x14ac:dyDescent="0.45">
      <c r="A365" s="104" t="str">
        <f t="shared" si="54"/>
        <v/>
      </c>
      <c r="B365" s="5"/>
      <c r="C365" s="109"/>
      <c r="D365" s="107"/>
      <c r="E365" s="6"/>
      <c r="F365" s="85"/>
      <c r="G365" s="85"/>
      <c r="H365" s="104" t="str">
        <f t="shared" si="46"/>
        <v/>
      </c>
      <c r="I365" s="103" t="str">
        <f>IFERROR(INDEX(#REF!,MATCH(E365,#REF!,0)),"")</f>
        <v/>
      </c>
      <c r="J365" s="6"/>
      <c r="K365" s="103" t="str">
        <f t="shared" si="47"/>
        <v/>
      </c>
      <c r="L365" s="8"/>
      <c r="M365" s="102" t="str">
        <f t="shared" si="48"/>
        <v/>
      </c>
      <c r="N365" s="9"/>
      <c r="O365" s="103" t="str">
        <f t="shared" si="49"/>
        <v/>
      </c>
      <c r="P365" s="6"/>
      <c r="Q365" s="7"/>
      <c r="R365" s="10"/>
      <c r="S365" s="29" t="str">
        <f t="shared" ca="1" si="50"/>
        <v/>
      </c>
      <c r="T365" s="7"/>
      <c r="U365" s="74"/>
      <c r="V365" s="101">
        <f>IF(OR(T365="",U365=""),0,IFERROR(INDEX(#REF!,MATCH(T365,#REF!,0))*U365,0))</f>
        <v>0</v>
      </c>
      <c r="W365" s="7"/>
      <c r="X365" s="74"/>
      <c r="Y365" s="101">
        <f>IF(OR(W365="",X365=""),0,IFERROR(INDEX(#REF!,MATCH(W365,#REF!,0))*X365,0))</f>
        <v>0</v>
      </c>
      <c r="Z365" s="7"/>
      <c r="AA365" s="74"/>
      <c r="AB365" s="101">
        <f>IF(OR(Z365="",AA365=""),0,IFERROR(INDEX(#REF!,MATCH(Z365,#REF!,0))*AA365,0))</f>
        <v>0</v>
      </c>
      <c r="AC365" s="7"/>
      <c r="AD365" s="74"/>
      <c r="AE365" s="101">
        <f>IF(OR(AC365="",AD365=""),0,IFERROR(INDEX(#REF!,MATCH(AC365,#REF!,0))*AD365,0))</f>
        <v>0</v>
      </c>
      <c r="AF365" s="7"/>
      <c r="AG365" s="74"/>
      <c r="AH365" s="101">
        <f>IF(OR(AF365="",AG365=""),0,IFERROR(INDEX(#REF!,MATCH(AF365,#REF!,0))*AG365,0))</f>
        <v>0</v>
      </c>
      <c r="AI365" s="7"/>
      <c r="AJ365" s="74"/>
      <c r="AK365" s="101">
        <f>IF(OR(AI365="",AJ365=""),0,IFERROR(INDEX(#REF!,MATCH(AI365,#REF!,0))*AJ365,0))</f>
        <v>0</v>
      </c>
      <c r="AL365" s="101">
        <f t="shared" si="51"/>
        <v>0</v>
      </c>
      <c r="AM365" s="7"/>
      <c r="AN365" s="72"/>
      <c r="AO365" s="99">
        <f>IF(OR(AM365="",AN365=""),0,IFERROR(INDEX(#REF!,MATCH(AM365,#REF!,0))*AN365,0))</f>
        <v>0</v>
      </c>
      <c r="AP365" s="7"/>
      <c r="AQ365" s="74"/>
      <c r="AR365" s="99">
        <f>IF(OR(AP365="",AQ365=""),0,IFERROR(INDEX(#REF!,MATCH(AP365,#REF!,0))*AQ365,0))</f>
        <v>0</v>
      </c>
      <c r="AS365" s="7"/>
      <c r="AT365" s="74"/>
      <c r="AU365" s="99">
        <f>IF(OR(AS365="",AT365=""),0,IFERROR(INDEX(#REF!,MATCH(AS365,#REF!,0))*AT365,0))</f>
        <v>0</v>
      </c>
      <c r="AV365" s="7"/>
      <c r="AW365" s="74"/>
      <c r="AX365" s="99">
        <f>IF(OR(AV365="",AW365=""),0,IFERROR(INDEX(#REF!,MATCH(AV365,#REF!,0))*AW365,0))</f>
        <v>0</v>
      </c>
      <c r="AY365" s="7"/>
      <c r="AZ365" s="77"/>
      <c r="BA365" s="99">
        <f>IF(OR(AY365="",AZ365=""),0,IFERROR(INDEX(#REF!,MATCH(AY365,#REF!,0))*AZ365,0))</f>
        <v>0</v>
      </c>
      <c r="BB365" s="100">
        <f t="shared" si="52"/>
        <v>0</v>
      </c>
      <c r="BC365" s="110" t="str">
        <f t="shared" si="53"/>
        <v/>
      </c>
      <c r="BD365" s="62"/>
    </row>
    <row r="366" spans="1:56" ht="19.5" customHeight="1" x14ac:dyDescent="0.45">
      <c r="A366" s="104" t="str">
        <f t="shared" si="54"/>
        <v/>
      </c>
      <c r="B366" s="5"/>
      <c r="C366" s="109"/>
      <c r="D366" s="107"/>
      <c r="E366" s="6"/>
      <c r="F366" s="85"/>
      <c r="G366" s="85"/>
      <c r="H366" s="104" t="str">
        <f t="shared" si="46"/>
        <v/>
      </c>
      <c r="I366" s="103" t="str">
        <f>IFERROR(INDEX(#REF!,MATCH(E366,#REF!,0)),"")</f>
        <v/>
      </c>
      <c r="J366" s="6"/>
      <c r="K366" s="103" t="str">
        <f t="shared" si="47"/>
        <v/>
      </c>
      <c r="L366" s="8"/>
      <c r="M366" s="102" t="str">
        <f t="shared" si="48"/>
        <v/>
      </c>
      <c r="N366" s="9"/>
      <c r="O366" s="103" t="str">
        <f t="shared" si="49"/>
        <v/>
      </c>
      <c r="P366" s="6"/>
      <c r="Q366" s="7"/>
      <c r="R366" s="10"/>
      <c r="S366" s="29" t="str">
        <f t="shared" ca="1" si="50"/>
        <v/>
      </c>
      <c r="T366" s="7"/>
      <c r="U366" s="74"/>
      <c r="V366" s="101">
        <f>IF(OR(T366="",U366=""),0,IFERROR(INDEX(#REF!,MATCH(T366,#REF!,0))*U366,0))</f>
        <v>0</v>
      </c>
      <c r="W366" s="7"/>
      <c r="X366" s="74"/>
      <c r="Y366" s="101">
        <f>IF(OR(W366="",X366=""),0,IFERROR(INDEX(#REF!,MATCH(W366,#REF!,0))*X366,0))</f>
        <v>0</v>
      </c>
      <c r="Z366" s="7"/>
      <c r="AA366" s="74"/>
      <c r="AB366" s="101">
        <f>IF(OR(Z366="",AA366=""),0,IFERROR(INDEX(#REF!,MATCH(Z366,#REF!,0))*AA366,0))</f>
        <v>0</v>
      </c>
      <c r="AC366" s="7"/>
      <c r="AD366" s="74"/>
      <c r="AE366" s="101">
        <f>IF(OR(AC366="",AD366=""),0,IFERROR(INDEX(#REF!,MATCH(AC366,#REF!,0))*AD366,0))</f>
        <v>0</v>
      </c>
      <c r="AF366" s="7"/>
      <c r="AG366" s="74"/>
      <c r="AH366" s="101">
        <f>IF(OR(AF366="",AG366=""),0,IFERROR(INDEX(#REF!,MATCH(AF366,#REF!,0))*AG366,0))</f>
        <v>0</v>
      </c>
      <c r="AI366" s="7"/>
      <c r="AJ366" s="74"/>
      <c r="AK366" s="101">
        <f>IF(OR(AI366="",AJ366=""),0,IFERROR(INDEX(#REF!,MATCH(AI366,#REF!,0))*AJ366,0))</f>
        <v>0</v>
      </c>
      <c r="AL366" s="101">
        <f t="shared" si="51"/>
        <v>0</v>
      </c>
      <c r="AM366" s="7"/>
      <c r="AN366" s="72"/>
      <c r="AO366" s="99">
        <f>IF(OR(AM366="",AN366=""),0,IFERROR(INDEX(#REF!,MATCH(AM366,#REF!,0))*AN366,0))</f>
        <v>0</v>
      </c>
      <c r="AP366" s="7"/>
      <c r="AQ366" s="74"/>
      <c r="AR366" s="99">
        <f>IF(OR(AP366="",AQ366=""),0,IFERROR(INDEX(#REF!,MATCH(AP366,#REF!,0))*AQ366,0))</f>
        <v>0</v>
      </c>
      <c r="AS366" s="7"/>
      <c r="AT366" s="74"/>
      <c r="AU366" s="99">
        <f>IF(OR(AS366="",AT366=""),0,IFERROR(INDEX(#REF!,MATCH(AS366,#REF!,0))*AT366,0))</f>
        <v>0</v>
      </c>
      <c r="AV366" s="7"/>
      <c r="AW366" s="74"/>
      <c r="AX366" s="99">
        <f>IF(OR(AV366="",AW366=""),0,IFERROR(INDEX(#REF!,MATCH(AV366,#REF!,0))*AW366,0))</f>
        <v>0</v>
      </c>
      <c r="AY366" s="7"/>
      <c r="AZ366" s="77"/>
      <c r="BA366" s="99">
        <f>IF(OR(AY366="",AZ366=""),0,IFERROR(INDEX(#REF!,MATCH(AY366,#REF!,0))*AZ366,0))</f>
        <v>0</v>
      </c>
      <c r="BB366" s="100">
        <f t="shared" si="52"/>
        <v>0</v>
      </c>
      <c r="BC366" s="110" t="str">
        <f t="shared" si="53"/>
        <v/>
      </c>
      <c r="BD366" s="62"/>
    </row>
    <row r="367" spans="1:56" ht="19.5" customHeight="1" x14ac:dyDescent="0.45">
      <c r="A367" s="104" t="str">
        <f t="shared" si="54"/>
        <v/>
      </c>
      <c r="B367" s="5"/>
      <c r="C367" s="109"/>
      <c r="D367" s="107"/>
      <c r="E367" s="6"/>
      <c r="F367" s="85"/>
      <c r="G367" s="85"/>
      <c r="H367" s="104" t="str">
        <f t="shared" si="46"/>
        <v/>
      </c>
      <c r="I367" s="103" t="str">
        <f>IFERROR(INDEX(#REF!,MATCH(E367,#REF!,0)),"")</f>
        <v/>
      </c>
      <c r="J367" s="6"/>
      <c r="K367" s="103" t="str">
        <f t="shared" si="47"/>
        <v/>
      </c>
      <c r="L367" s="8"/>
      <c r="M367" s="102" t="str">
        <f t="shared" si="48"/>
        <v/>
      </c>
      <c r="N367" s="9"/>
      <c r="O367" s="103" t="str">
        <f t="shared" si="49"/>
        <v/>
      </c>
      <c r="P367" s="6"/>
      <c r="Q367" s="7"/>
      <c r="R367" s="10"/>
      <c r="S367" s="29" t="str">
        <f t="shared" ca="1" si="50"/>
        <v/>
      </c>
      <c r="T367" s="7"/>
      <c r="U367" s="74"/>
      <c r="V367" s="101">
        <f>IF(OR(T367="",U367=""),0,IFERROR(INDEX(#REF!,MATCH(T367,#REF!,0))*U367,0))</f>
        <v>0</v>
      </c>
      <c r="W367" s="7"/>
      <c r="X367" s="74"/>
      <c r="Y367" s="101">
        <f>IF(OR(W367="",X367=""),0,IFERROR(INDEX(#REF!,MATCH(W367,#REF!,0))*X367,0))</f>
        <v>0</v>
      </c>
      <c r="Z367" s="7"/>
      <c r="AA367" s="74"/>
      <c r="AB367" s="101">
        <f>IF(OR(Z367="",AA367=""),0,IFERROR(INDEX(#REF!,MATCH(Z367,#REF!,0))*AA367,0))</f>
        <v>0</v>
      </c>
      <c r="AC367" s="7"/>
      <c r="AD367" s="74"/>
      <c r="AE367" s="101">
        <f>IF(OR(AC367="",AD367=""),0,IFERROR(INDEX(#REF!,MATCH(AC367,#REF!,0))*AD367,0))</f>
        <v>0</v>
      </c>
      <c r="AF367" s="7"/>
      <c r="AG367" s="74"/>
      <c r="AH367" s="101">
        <f>IF(OR(AF367="",AG367=""),0,IFERROR(INDEX(#REF!,MATCH(AF367,#REF!,0))*AG367,0))</f>
        <v>0</v>
      </c>
      <c r="AI367" s="7"/>
      <c r="AJ367" s="74"/>
      <c r="AK367" s="101">
        <f>IF(OR(AI367="",AJ367=""),0,IFERROR(INDEX(#REF!,MATCH(AI367,#REF!,0))*AJ367,0))</f>
        <v>0</v>
      </c>
      <c r="AL367" s="101">
        <f t="shared" si="51"/>
        <v>0</v>
      </c>
      <c r="AM367" s="7"/>
      <c r="AN367" s="72"/>
      <c r="AO367" s="99">
        <f>IF(OR(AM367="",AN367=""),0,IFERROR(INDEX(#REF!,MATCH(AM367,#REF!,0))*AN367,0))</f>
        <v>0</v>
      </c>
      <c r="AP367" s="7"/>
      <c r="AQ367" s="74"/>
      <c r="AR367" s="99">
        <f>IF(OR(AP367="",AQ367=""),0,IFERROR(INDEX(#REF!,MATCH(AP367,#REF!,0))*AQ367,0))</f>
        <v>0</v>
      </c>
      <c r="AS367" s="7"/>
      <c r="AT367" s="74"/>
      <c r="AU367" s="99">
        <f>IF(OR(AS367="",AT367=""),0,IFERROR(INDEX(#REF!,MATCH(AS367,#REF!,0))*AT367,0))</f>
        <v>0</v>
      </c>
      <c r="AV367" s="7"/>
      <c r="AW367" s="74"/>
      <c r="AX367" s="99">
        <f>IF(OR(AV367="",AW367=""),0,IFERROR(INDEX(#REF!,MATCH(AV367,#REF!,0))*AW367,0))</f>
        <v>0</v>
      </c>
      <c r="AY367" s="7"/>
      <c r="AZ367" s="77"/>
      <c r="BA367" s="99">
        <f>IF(OR(AY367="",AZ367=""),0,IFERROR(INDEX(#REF!,MATCH(AY367,#REF!,0))*AZ367,0))</f>
        <v>0</v>
      </c>
      <c r="BB367" s="100">
        <f t="shared" si="52"/>
        <v>0</v>
      </c>
      <c r="BC367" s="110" t="str">
        <f t="shared" si="53"/>
        <v/>
      </c>
      <c r="BD367" s="62"/>
    </row>
    <row r="368" spans="1:56" ht="19.5" customHeight="1" x14ac:dyDescent="0.45">
      <c r="A368" s="104" t="str">
        <f t="shared" si="54"/>
        <v/>
      </c>
      <c r="B368" s="5"/>
      <c r="C368" s="109"/>
      <c r="D368" s="107"/>
      <c r="E368" s="6"/>
      <c r="F368" s="85"/>
      <c r="G368" s="85"/>
      <c r="H368" s="104" t="str">
        <f t="shared" si="46"/>
        <v/>
      </c>
      <c r="I368" s="103" t="str">
        <f>IFERROR(INDEX(#REF!,MATCH(E368,#REF!,0)),"")</f>
        <v/>
      </c>
      <c r="J368" s="6"/>
      <c r="K368" s="103" t="str">
        <f t="shared" si="47"/>
        <v/>
      </c>
      <c r="L368" s="8"/>
      <c r="M368" s="102" t="str">
        <f t="shared" si="48"/>
        <v/>
      </c>
      <c r="N368" s="9"/>
      <c r="O368" s="103" t="str">
        <f t="shared" si="49"/>
        <v/>
      </c>
      <c r="P368" s="6"/>
      <c r="Q368" s="7"/>
      <c r="R368" s="10"/>
      <c r="S368" s="29" t="str">
        <f t="shared" ca="1" si="50"/>
        <v/>
      </c>
      <c r="T368" s="7"/>
      <c r="U368" s="74"/>
      <c r="V368" s="101">
        <f>IF(OR(T368="",U368=""),0,IFERROR(INDEX(#REF!,MATCH(T368,#REF!,0))*U368,0))</f>
        <v>0</v>
      </c>
      <c r="W368" s="7"/>
      <c r="X368" s="74"/>
      <c r="Y368" s="101">
        <f>IF(OR(W368="",X368=""),0,IFERROR(INDEX(#REF!,MATCH(W368,#REF!,0))*X368,0))</f>
        <v>0</v>
      </c>
      <c r="Z368" s="7"/>
      <c r="AA368" s="74"/>
      <c r="AB368" s="101">
        <f>IF(OR(Z368="",AA368=""),0,IFERROR(INDEX(#REF!,MATCH(Z368,#REF!,0))*AA368,0))</f>
        <v>0</v>
      </c>
      <c r="AC368" s="7"/>
      <c r="AD368" s="74"/>
      <c r="AE368" s="101">
        <f>IF(OR(AC368="",AD368=""),0,IFERROR(INDEX(#REF!,MATCH(AC368,#REF!,0))*AD368,0))</f>
        <v>0</v>
      </c>
      <c r="AF368" s="7"/>
      <c r="AG368" s="74"/>
      <c r="AH368" s="101">
        <f>IF(OR(AF368="",AG368=""),0,IFERROR(INDEX(#REF!,MATCH(AF368,#REF!,0))*AG368,0))</f>
        <v>0</v>
      </c>
      <c r="AI368" s="7"/>
      <c r="AJ368" s="74"/>
      <c r="AK368" s="101">
        <f>IF(OR(AI368="",AJ368=""),0,IFERROR(INDEX(#REF!,MATCH(AI368,#REF!,0))*AJ368,0))</f>
        <v>0</v>
      </c>
      <c r="AL368" s="101">
        <f t="shared" si="51"/>
        <v>0</v>
      </c>
      <c r="AM368" s="7"/>
      <c r="AN368" s="72"/>
      <c r="AO368" s="99">
        <f>IF(OR(AM368="",AN368=""),0,IFERROR(INDEX(#REF!,MATCH(AM368,#REF!,0))*AN368,0))</f>
        <v>0</v>
      </c>
      <c r="AP368" s="7"/>
      <c r="AQ368" s="74"/>
      <c r="AR368" s="99">
        <f>IF(OR(AP368="",AQ368=""),0,IFERROR(INDEX(#REF!,MATCH(AP368,#REF!,0))*AQ368,0))</f>
        <v>0</v>
      </c>
      <c r="AS368" s="7"/>
      <c r="AT368" s="74"/>
      <c r="AU368" s="99">
        <f>IF(OR(AS368="",AT368=""),0,IFERROR(INDEX(#REF!,MATCH(AS368,#REF!,0))*AT368,0))</f>
        <v>0</v>
      </c>
      <c r="AV368" s="7"/>
      <c r="AW368" s="74"/>
      <c r="AX368" s="99">
        <f>IF(OR(AV368="",AW368=""),0,IFERROR(INDEX(#REF!,MATCH(AV368,#REF!,0))*AW368,0))</f>
        <v>0</v>
      </c>
      <c r="AY368" s="7"/>
      <c r="AZ368" s="77"/>
      <c r="BA368" s="99">
        <f>IF(OR(AY368="",AZ368=""),0,IFERROR(INDEX(#REF!,MATCH(AY368,#REF!,0))*AZ368,0))</f>
        <v>0</v>
      </c>
      <c r="BB368" s="100">
        <f t="shared" si="52"/>
        <v>0</v>
      </c>
      <c r="BC368" s="110" t="str">
        <f t="shared" si="53"/>
        <v/>
      </c>
      <c r="BD368" s="62"/>
    </row>
    <row r="369" spans="1:56" ht="19.5" customHeight="1" x14ac:dyDescent="0.45">
      <c r="A369" s="104" t="str">
        <f t="shared" si="54"/>
        <v/>
      </c>
      <c r="B369" s="5"/>
      <c r="C369" s="109"/>
      <c r="D369" s="107"/>
      <c r="E369" s="6"/>
      <c r="F369" s="85"/>
      <c r="G369" s="85"/>
      <c r="H369" s="104" t="str">
        <f t="shared" si="46"/>
        <v/>
      </c>
      <c r="I369" s="103" t="str">
        <f>IFERROR(INDEX(#REF!,MATCH(E369,#REF!,0)),"")</f>
        <v/>
      </c>
      <c r="J369" s="6"/>
      <c r="K369" s="103" t="str">
        <f t="shared" si="47"/>
        <v/>
      </c>
      <c r="L369" s="8"/>
      <c r="M369" s="102" t="str">
        <f t="shared" si="48"/>
        <v/>
      </c>
      <c r="N369" s="9"/>
      <c r="O369" s="103" t="str">
        <f t="shared" si="49"/>
        <v/>
      </c>
      <c r="P369" s="6"/>
      <c r="Q369" s="7"/>
      <c r="R369" s="10"/>
      <c r="S369" s="29" t="str">
        <f t="shared" ca="1" si="50"/>
        <v/>
      </c>
      <c r="T369" s="7"/>
      <c r="U369" s="74"/>
      <c r="V369" s="101">
        <f>IF(OR(T369="",U369=""),0,IFERROR(INDEX(#REF!,MATCH(T369,#REF!,0))*U369,0))</f>
        <v>0</v>
      </c>
      <c r="W369" s="7"/>
      <c r="X369" s="74"/>
      <c r="Y369" s="101">
        <f>IF(OR(W369="",X369=""),0,IFERROR(INDEX(#REF!,MATCH(W369,#REF!,0))*X369,0))</f>
        <v>0</v>
      </c>
      <c r="Z369" s="7"/>
      <c r="AA369" s="74"/>
      <c r="AB369" s="101">
        <f>IF(OR(Z369="",AA369=""),0,IFERROR(INDEX(#REF!,MATCH(Z369,#REF!,0))*AA369,0))</f>
        <v>0</v>
      </c>
      <c r="AC369" s="7"/>
      <c r="AD369" s="74"/>
      <c r="AE369" s="101">
        <f>IF(OR(AC369="",AD369=""),0,IFERROR(INDEX(#REF!,MATCH(AC369,#REF!,0))*AD369,0))</f>
        <v>0</v>
      </c>
      <c r="AF369" s="7"/>
      <c r="AG369" s="74"/>
      <c r="AH369" s="101">
        <f>IF(OR(AF369="",AG369=""),0,IFERROR(INDEX(#REF!,MATCH(AF369,#REF!,0))*AG369,0))</f>
        <v>0</v>
      </c>
      <c r="AI369" s="7"/>
      <c r="AJ369" s="74"/>
      <c r="AK369" s="101">
        <f>IF(OR(AI369="",AJ369=""),0,IFERROR(INDEX(#REF!,MATCH(AI369,#REF!,0))*AJ369,0))</f>
        <v>0</v>
      </c>
      <c r="AL369" s="101">
        <f t="shared" si="51"/>
        <v>0</v>
      </c>
      <c r="AM369" s="7"/>
      <c r="AN369" s="72"/>
      <c r="AO369" s="99">
        <f>IF(OR(AM369="",AN369=""),0,IFERROR(INDEX(#REF!,MATCH(AM369,#REF!,0))*AN369,0))</f>
        <v>0</v>
      </c>
      <c r="AP369" s="7"/>
      <c r="AQ369" s="74"/>
      <c r="AR369" s="99">
        <f>IF(OR(AP369="",AQ369=""),0,IFERROR(INDEX(#REF!,MATCH(AP369,#REF!,0))*AQ369,0))</f>
        <v>0</v>
      </c>
      <c r="AS369" s="7"/>
      <c r="AT369" s="74"/>
      <c r="AU369" s="99">
        <f>IF(OR(AS369="",AT369=""),0,IFERROR(INDEX(#REF!,MATCH(AS369,#REF!,0))*AT369,0))</f>
        <v>0</v>
      </c>
      <c r="AV369" s="7"/>
      <c r="AW369" s="74"/>
      <c r="AX369" s="99">
        <f>IF(OR(AV369="",AW369=""),0,IFERROR(INDEX(#REF!,MATCH(AV369,#REF!,0))*AW369,0))</f>
        <v>0</v>
      </c>
      <c r="AY369" s="7"/>
      <c r="AZ369" s="77"/>
      <c r="BA369" s="99">
        <f>IF(OR(AY369="",AZ369=""),0,IFERROR(INDEX(#REF!,MATCH(AY369,#REF!,0))*AZ369,0))</f>
        <v>0</v>
      </c>
      <c r="BB369" s="100">
        <f t="shared" si="52"/>
        <v>0</v>
      </c>
      <c r="BC369" s="110" t="str">
        <f t="shared" si="53"/>
        <v/>
      </c>
      <c r="BD369" s="62"/>
    </row>
    <row r="370" spans="1:56" ht="19.5" customHeight="1" x14ac:dyDescent="0.45">
      <c r="A370" s="104" t="str">
        <f t="shared" si="54"/>
        <v/>
      </c>
      <c r="B370" s="5"/>
      <c r="C370" s="109"/>
      <c r="D370" s="107"/>
      <c r="E370" s="6"/>
      <c r="F370" s="85"/>
      <c r="G370" s="85"/>
      <c r="H370" s="104" t="str">
        <f t="shared" si="46"/>
        <v/>
      </c>
      <c r="I370" s="103" t="str">
        <f>IFERROR(INDEX(#REF!,MATCH(E370,#REF!,0)),"")</f>
        <v/>
      </c>
      <c r="J370" s="6"/>
      <c r="K370" s="103" t="str">
        <f t="shared" si="47"/>
        <v/>
      </c>
      <c r="L370" s="8"/>
      <c r="M370" s="102" t="str">
        <f t="shared" si="48"/>
        <v/>
      </c>
      <c r="N370" s="9"/>
      <c r="O370" s="103" t="str">
        <f t="shared" si="49"/>
        <v/>
      </c>
      <c r="P370" s="6"/>
      <c r="Q370" s="7"/>
      <c r="R370" s="10"/>
      <c r="S370" s="29" t="str">
        <f t="shared" ca="1" si="50"/>
        <v/>
      </c>
      <c r="T370" s="7"/>
      <c r="U370" s="74"/>
      <c r="V370" s="101">
        <f>IF(OR(T370="",U370=""),0,IFERROR(INDEX(#REF!,MATCH(T370,#REF!,0))*U370,0))</f>
        <v>0</v>
      </c>
      <c r="W370" s="7"/>
      <c r="X370" s="74"/>
      <c r="Y370" s="101">
        <f>IF(OR(W370="",X370=""),0,IFERROR(INDEX(#REF!,MATCH(W370,#REF!,0))*X370,0))</f>
        <v>0</v>
      </c>
      <c r="Z370" s="7"/>
      <c r="AA370" s="74"/>
      <c r="AB370" s="101">
        <f>IF(OR(Z370="",AA370=""),0,IFERROR(INDEX(#REF!,MATCH(Z370,#REF!,0))*AA370,0))</f>
        <v>0</v>
      </c>
      <c r="AC370" s="7"/>
      <c r="AD370" s="74"/>
      <c r="AE370" s="101">
        <f>IF(OR(AC370="",AD370=""),0,IFERROR(INDEX(#REF!,MATCH(AC370,#REF!,0))*AD370,0))</f>
        <v>0</v>
      </c>
      <c r="AF370" s="7"/>
      <c r="AG370" s="74"/>
      <c r="AH370" s="101">
        <f>IF(OR(AF370="",AG370=""),0,IFERROR(INDEX(#REF!,MATCH(AF370,#REF!,0))*AG370,0))</f>
        <v>0</v>
      </c>
      <c r="AI370" s="7"/>
      <c r="AJ370" s="74"/>
      <c r="AK370" s="101">
        <f>IF(OR(AI370="",AJ370=""),0,IFERROR(INDEX(#REF!,MATCH(AI370,#REF!,0))*AJ370,0))</f>
        <v>0</v>
      </c>
      <c r="AL370" s="101">
        <f t="shared" si="51"/>
        <v>0</v>
      </c>
      <c r="AM370" s="7"/>
      <c r="AN370" s="72"/>
      <c r="AO370" s="99">
        <f>IF(OR(AM370="",AN370=""),0,IFERROR(INDEX(#REF!,MATCH(AM370,#REF!,0))*AN370,0))</f>
        <v>0</v>
      </c>
      <c r="AP370" s="7"/>
      <c r="AQ370" s="74"/>
      <c r="AR370" s="99">
        <f>IF(OR(AP370="",AQ370=""),0,IFERROR(INDEX(#REF!,MATCH(AP370,#REF!,0))*AQ370,0))</f>
        <v>0</v>
      </c>
      <c r="AS370" s="7"/>
      <c r="AT370" s="74"/>
      <c r="AU370" s="99">
        <f>IF(OR(AS370="",AT370=""),0,IFERROR(INDEX(#REF!,MATCH(AS370,#REF!,0))*AT370,0))</f>
        <v>0</v>
      </c>
      <c r="AV370" s="7"/>
      <c r="AW370" s="74"/>
      <c r="AX370" s="99">
        <f>IF(OR(AV370="",AW370=""),0,IFERROR(INDEX(#REF!,MATCH(AV370,#REF!,0))*AW370,0))</f>
        <v>0</v>
      </c>
      <c r="AY370" s="7"/>
      <c r="AZ370" s="77"/>
      <c r="BA370" s="99">
        <f>IF(OR(AY370="",AZ370=""),0,IFERROR(INDEX(#REF!,MATCH(AY370,#REF!,0))*AZ370,0))</f>
        <v>0</v>
      </c>
      <c r="BB370" s="100">
        <f t="shared" si="52"/>
        <v>0</v>
      </c>
      <c r="BC370" s="110" t="str">
        <f t="shared" si="53"/>
        <v/>
      </c>
      <c r="BD370" s="62"/>
    </row>
    <row r="371" spans="1:56" ht="19.5" customHeight="1" x14ac:dyDescent="0.45">
      <c r="A371" s="104" t="str">
        <f t="shared" si="54"/>
        <v/>
      </c>
      <c r="B371" s="5"/>
      <c r="C371" s="109"/>
      <c r="D371" s="107"/>
      <c r="E371" s="6"/>
      <c r="F371" s="85"/>
      <c r="G371" s="85"/>
      <c r="H371" s="104" t="str">
        <f t="shared" si="46"/>
        <v/>
      </c>
      <c r="I371" s="103" t="str">
        <f>IFERROR(INDEX(#REF!,MATCH(E371,#REF!,0)),"")</f>
        <v/>
      </c>
      <c r="J371" s="6"/>
      <c r="K371" s="103" t="str">
        <f t="shared" si="47"/>
        <v/>
      </c>
      <c r="L371" s="8"/>
      <c r="M371" s="102" t="str">
        <f t="shared" si="48"/>
        <v/>
      </c>
      <c r="N371" s="9"/>
      <c r="O371" s="103" t="str">
        <f t="shared" si="49"/>
        <v/>
      </c>
      <c r="P371" s="6"/>
      <c r="Q371" s="7"/>
      <c r="R371" s="10"/>
      <c r="S371" s="29" t="str">
        <f t="shared" ca="1" si="50"/>
        <v/>
      </c>
      <c r="T371" s="7"/>
      <c r="U371" s="74"/>
      <c r="V371" s="101">
        <f>IF(OR(T371="",U371=""),0,IFERROR(INDEX(#REF!,MATCH(T371,#REF!,0))*U371,0))</f>
        <v>0</v>
      </c>
      <c r="W371" s="7"/>
      <c r="X371" s="74"/>
      <c r="Y371" s="101">
        <f>IF(OR(W371="",X371=""),0,IFERROR(INDEX(#REF!,MATCH(W371,#REF!,0))*X371,0))</f>
        <v>0</v>
      </c>
      <c r="Z371" s="7"/>
      <c r="AA371" s="74"/>
      <c r="AB371" s="101">
        <f>IF(OR(Z371="",AA371=""),0,IFERROR(INDEX(#REF!,MATCH(Z371,#REF!,0))*AA371,0))</f>
        <v>0</v>
      </c>
      <c r="AC371" s="7"/>
      <c r="AD371" s="74"/>
      <c r="AE371" s="101">
        <f>IF(OR(AC371="",AD371=""),0,IFERROR(INDEX(#REF!,MATCH(AC371,#REF!,0))*AD371,0))</f>
        <v>0</v>
      </c>
      <c r="AF371" s="7"/>
      <c r="AG371" s="74"/>
      <c r="AH371" s="101">
        <f>IF(OR(AF371="",AG371=""),0,IFERROR(INDEX(#REF!,MATCH(AF371,#REF!,0))*AG371,0))</f>
        <v>0</v>
      </c>
      <c r="AI371" s="7"/>
      <c r="AJ371" s="74"/>
      <c r="AK371" s="101">
        <f>IF(OR(AI371="",AJ371=""),0,IFERROR(INDEX(#REF!,MATCH(AI371,#REF!,0))*AJ371,0))</f>
        <v>0</v>
      </c>
      <c r="AL371" s="101">
        <f t="shared" si="51"/>
        <v>0</v>
      </c>
      <c r="AM371" s="7"/>
      <c r="AN371" s="72"/>
      <c r="AO371" s="99">
        <f>IF(OR(AM371="",AN371=""),0,IFERROR(INDEX(#REF!,MATCH(AM371,#REF!,0))*AN371,0))</f>
        <v>0</v>
      </c>
      <c r="AP371" s="7"/>
      <c r="AQ371" s="74"/>
      <c r="AR371" s="99">
        <f>IF(OR(AP371="",AQ371=""),0,IFERROR(INDEX(#REF!,MATCH(AP371,#REF!,0))*AQ371,0))</f>
        <v>0</v>
      </c>
      <c r="AS371" s="7"/>
      <c r="AT371" s="74"/>
      <c r="AU371" s="99">
        <f>IF(OR(AS371="",AT371=""),0,IFERROR(INDEX(#REF!,MATCH(AS371,#REF!,0))*AT371,0))</f>
        <v>0</v>
      </c>
      <c r="AV371" s="7"/>
      <c r="AW371" s="74"/>
      <c r="AX371" s="99">
        <f>IF(OR(AV371="",AW371=""),0,IFERROR(INDEX(#REF!,MATCH(AV371,#REF!,0))*AW371,0))</f>
        <v>0</v>
      </c>
      <c r="AY371" s="7"/>
      <c r="AZ371" s="77"/>
      <c r="BA371" s="99">
        <f>IF(OR(AY371="",AZ371=""),0,IFERROR(INDEX(#REF!,MATCH(AY371,#REF!,0))*AZ371,0))</f>
        <v>0</v>
      </c>
      <c r="BB371" s="100">
        <f t="shared" si="52"/>
        <v>0</v>
      </c>
      <c r="BC371" s="110" t="str">
        <f t="shared" si="53"/>
        <v/>
      </c>
      <c r="BD371" s="62"/>
    </row>
    <row r="372" spans="1:56" ht="19.5" customHeight="1" x14ac:dyDescent="0.45">
      <c r="A372" s="104" t="str">
        <f t="shared" si="54"/>
        <v/>
      </c>
      <c r="B372" s="5"/>
      <c r="C372" s="109"/>
      <c r="D372" s="107"/>
      <c r="E372" s="6"/>
      <c r="F372" s="85"/>
      <c r="G372" s="85"/>
      <c r="H372" s="104" t="str">
        <f t="shared" si="46"/>
        <v/>
      </c>
      <c r="I372" s="103" t="str">
        <f>IFERROR(INDEX(#REF!,MATCH(E372,#REF!,0)),"")</f>
        <v/>
      </c>
      <c r="J372" s="6"/>
      <c r="K372" s="103" t="str">
        <f t="shared" si="47"/>
        <v/>
      </c>
      <c r="L372" s="8"/>
      <c r="M372" s="102" t="str">
        <f t="shared" si="48"/>
        <v/>
      </c>
      <c r="N372" s="9"/>
      <c r="O372" s="103" t="str">
        <f t="shared" si="49"/>
        <v/>
      </c>
      <c r="P372" s="6"/>
      <c r="Q372" s="7"/>
      <c r="R372" s="10"/>
      <c r="S372" s="29" t="str">
        <f t="shared" ca="1" si="50"/>
        <v/>
      </c>
      <c r="T372" s="7"/>
      <c r="U372" s="74"/>
      <c r="V372" s="101">
        <f>IF(OR(T372="",U372=""),0,IFERROR(INDEX(#REF!,MATCH(T372,#REF!,0))*U372,0))</f>
        <v>0</v>
      </c>
      <c r="W372" s="7"/>
      <c r="X372" s="74"/>
      <c r="Y372" s="101">
        <f>IF(OR(W372="",X372=""),0,IFERROR(INDEX(#REF!,MATCH(W372,#REF!,0))*X372,0))</f>
        <v>0</v>
      </c>
      <c r="Z372" s="7"/>
      <c r="AA372" s="74"/>
      <c r="AB372" s="101">
        <f>IF(OR(Z372="",AA372=""),0,IFERROR(INDEX(#REF!,MATCH(Z372,#REF!,0))*AA372,0))</f>
        <v>0</v>
      </c>
      <c r="AC372" s="7"/>
      <c r="AD372" s="74"/>
      <c r="AE372" s="101">
        <f>IF(OR(AC372="",AD372=""),0,IFERROR(INDEX(#REF!,MATCH(AC372,#REF!,0))*AD372,0))</f>
        <v>0</v>
      </c>
      <c r="AF372" s="7"/>
      <c r="AG372" s="74"/>
      <c r="AH372" s="101">
        <f>IF(OR(AF372="",AG372=""),0,IFERROR(INDEX(#REF!,MATCH(AF372,#REF!,0))*AG372,0))</f>
        <v>0</v>
      </c>
      <c r="AI372" s="7"/>
      <c r="AJ372" s="74"/>
      <c r="AK372" s="101">
        <f>IF(OR(AI372="",AJ372=""),0,IFERROR(INDEX(#REF!,MATCH(AI372,#REF!,0))*AJ372,0))</f>
        <v>0</v>
      </c>
      <c r="AL372" s="101">
        <f t="shared" si="51"/>
        <v>0</v>
      </c>
      <c r="AM372" s="7"/>
      <c r="AN372" s="72"/>
      <c r="AO372" s="99">
        <f>IF(OR(AM372="",AN372=""),0,IFERROR(INDEX(#REF!,MATCH(AM372,#REF!,0))*AN372,0))</f>
        <v>0</v>
      </c>
      <c r="AP372" s="7"/>
      <c r="AQ372" s="74"/>
      <c r="AR372" s="99">
        <f>IF(OR(AP372="",AQ372=""),0,IFERROR(INDEX(#REF!,MATCH(AP372,#REF!,0))*AQ372,0))</f>
        <v>0</v>
      </c>
      <c r="AS372" s="7"/>
      <c r="AT372" s="74"/>
      <c r="AU372" s="99">
        <f>IF(OR(AS372="",AT372=""),0,IFERROR(INDEX(#REF!,MATCH(AS372,#REF!,0))*AT372,0))</f>
        <v>0</v>
      </c>
      <c r="AV372" s="7"/>
      <c r="AW372" s="74"/>
      <c r="AX372" s="99">
        <f>IF(OR(AV372="",AW372=""),0,IFERROR(INDEX(#REF!,MATCH(AV372,#REF!,0))*AW372,0))</f>
        <v>0</v>
      </c>
      <c r="AY372" s="7"/>
      <c r="AZ372" s="77"/>
      <c r="BA372" s="99">
        <f>IF(OR(AY372="",AZ372=""),0,IFERROR(INDEX(#REF!,MATCH(AY372,#REF!,0))*AZ372,0))</f>
        <v>0</v>
      </c>
      <c r="BB372" s="100">
        <f t="shared" si="52"/>
        <v>0</v>
      </c>
      <c r="BC372" s="110" t="str">
        <f t="shared" si="53"/>
        <v/>
      </c>
      <c r="BD372" s="62"/>
    </row>
    <row r="373" spans="1:56" ht="19.5" customHeight="1" x14ac:dyDescent="0.45">
      <c r="A373" s="104" t="str">
        <f t="shared" si="54"/>
        <v/>
      </c>
      <c r="B373" s="5"/>
      <c r="C373" s="109"/>
      <c r="D373" s="107"/>
      <c r="E373" s="6"/>
      <c r="F373" s="85"/>
      <c r="G373" s="85"/>
      <c r="H373" s="104" t="str">
        <f t="shared" si="46"/>
        <v/>
      </c>
      <c r="I373" s="103" t="str">
        <f>IFERROR(INDEX(#REF!,MATCH(E373,#REF!,0)),"")</f>
        <v/>
      </c>
      <c r="J373" s="6"/>
      <c r="K373" s="103" t="str">
        <f t="shared" si="47"/>
        <v/>
      </c>
      <c r="L373" s="8"/>
      <c r="M373" s="102" t="str">
        <f t="shared" si="48"/>
        <v/>
      </c>
      <c r="N373" s="9"/>
      <c r="O373" s="103" t="str">
        <f t="shared" si="49"/>
        <v/>
      </c>
      <c r="P373" s="6"/>
      <c r="Q373" s="7"/>
      <c r="R373" s="10"/>
      <c r="S373" s="29" t="str">
        <f t="shared" ca="1" si="50"/>
        <v/>
      </c>
      <c r="T373" s="7"/>
      <c r="U373" s="74"/>
      <c r="V373" s="101">
        <f>IF(OR(T373="",U373=""),0,IFERROR(INDEX(#REF!,MATCH(T373,#REF!,0))*U373,0))</f>
        <v>0</v>
      </c>
      <c r="W373" s="7"/>
      <c r="X373" s="74"/>
      <c r="Y373" s="101">
        <f>IF(OR(W373="",X373=""),0,IFERROR(INDEX(#REF!,MATCH(W373,#REF!,0))*X373,0))</f>
        <v>0</v>
      </c>
      <c r="Z373" s="7"/>
      <c r="AA373" s="74"/>
      <c r="AB373" s="101">
        <f>IF(OR(Z373="",AA373=""),0,IFERROR(INDEX(#REF!,MATCH(Z373,#REF!,0))*AA373,0))</f>
        <v>0</v>
      </c>
      <c r="AC373" s="7"/>
      <c r="AD373" s="74"/>
      <c r="AE373" s="101">
        <f>IF(OR(AC373="",AD373=""),0,IFERROR(INDEX(#REF!,MATCH(AC373,#REF!,0))*AD373,0))</f>
        <v>0</v>
      </c>
      <c r="AF373" s="7"/>
      <c r="AG373" s="74"/>
      <c r="AH373" s="101">
        <f>IF(OR(AF373="",AG373=""),0,IFERROR(INDEX(#REF!,MATCH(AF373,#REF!,0))*AG373,0))</f>
        <v>0</v>
      </c>
      <c r="AI373" s="7"/>
      <c r="AJ373" s="74"/>
      <c r="AK373" s="101">
        <f>IF(OR(AI373="",AJ373=""),0,IFERROR(INDEX(#REF!,MATCH(AI373,#REF!,0))*AJ373,0))</f>
        <v>0</v>
      </c>
      <c r="AL373" s="101">
        <f t="shared" si="51"/>
        <v>0</v>
      </c>
      <c r="AM373" s="7"/>
      <c r="AN373" s="72"/>
      <c r="AO373" s="99">
        <f>IF(OR(AM373="",AN373=""),0,IFERROR(INDEX(#REF!,MATCH(AM373,#REF!,0))*AN373,0))</f>
        <v>0</v>
      </c>
      <c r="AP373" s="7"/>
      <c r="AQ373" s="74"/>
      <c r="AR373" s="99">
        <f>IF(OR(AP373="",AQ373=""),0,IFERROR(INDEX(#REF!,MATCH(AP373,#REF!,0))*AQ373,0))</f>
        <v>0</v>
      </c>
      <c r="AS373" s="7"/>
      <c r="AT373" s="74"/>
      <c r="AU373" s="99">
        <f>IF(OR(AS373="",AT373=""),0,IFERROR(INDEX(#REF!,MATCH(AS373,#REF!,0))*AT373,0))</f>
        <v>0</v>
      </c>
      <c r="AV373" s="7"/>
      <c r="AW373" s="74"/>
      <c r="AX373" s="99">
        <f>IF(OR(AV373="",AW373=""),0,IFERROR(INDEX(#REF!,MATCH(AV373,#REF!,0))*AW373,0))</f>
        <v>0</v>
      </c>
      <c r="AY373" s="7"/>
      <c r="AZ373" s="77"/>
      <c r="BA373" s="99">
        <f>IF(OR(AY373="",AZ373=""),0,IFERROR(INDEX(#REF!,MATCH(AY373,#REF!,0))*AZ373,0))</f>
        <v>0</v>
      </c>
      <c r="BB373" s="100">
        <f t="shared" si="52"/>
        <v>0</v>
      </c>
      <c r="BC373" s="110" t="str">
        <f t="shared" si="53"/>
        <v/>
      </c>
      <c r="BD373" s="62"/>
    </row>
    <row r="374" spans="1:56" ht="19.5" customHeight="1" x14ac:dyDescent="0.45">
      <c r="A374" s="104" t="str">
        <f t="shared" si="54"/>
        <v/>
      </c>
      <c r="B374" s="5"/>
      <c r="C374" s="109"/>
      <c r="D374" s="107"/>
      <c r="E374" s="6"/>
      <c r="F374" s="85"/>
      <c r="G374" s="85"/>
      <c r="H374" s="104" t="str">
        <f t="shared" si="46"/>
        <v/>
      </c>
      <c r="I374" s="103" t="str">
        <f>IFERROR(INDEX(#REF!,MATCH(E374,#REF!,0)),"")</f>
        <v/>
      </c>
      <c r="J374" s="6"/>
      <c r="K374" s="103" t="str">
        <f t="shared" si="47"/>
        <v/>
      </c>
      <c r="L374" s="8"/>
      <c r="M374" s="102" t="str">
        <f t="shared" si="48"/>
        <v/>
      </c>
      <c r="N374" s="9"/>
      <c r="O374" s="103" t="str">
        <f t="shared" si="49"/>
        <v/>
      </c>
      <c r="P374" s="6"/>
      <c r="Q374" s="7"/>
      <c r="R374" s="10"/>
      <c r="S374" s="29" t="str">
        <f t="shared" ca="1" si="50"/>
        <v/>
      </c>
      <c r="T374" s="7"/>
      <c r="U374" s="74"/>
      <c r="V374" s="101">
        <f>IF(OR(T374="",U374=""),0,IFERROR(INDEX(#REF!,MATCH(T374,#REF!,0))*U374,0))</f>
        <v>0</v>
      </c>
      <c r="W374" s="7"/>
      <c r="X374" s="74"/>
      <c r="Y374" s="101">
        <f>IF(OR(W374="",X374=""),0,IFERROR(INDEX(#REF!,MATCH(W374,#REF!,0))*X374,0))</f>
        <v>0</v>
      </c>
      <c r="Z374" s="7"/>
      <c r="AA374" s="74"/>
      <c r="AB374" s="101">
        <f>IF(OR(Z374="",AA374=""),0,IFERROR(INDEX(#REF!,MATCH(Z374,#REF!,0))*AA374,0))</f>
        <v>0</v>
      </c>
      <c r="AC374" s="7"/>
      <c r="AD374" s="74"/>
      <c r="AE374" s="101">
        <f>IF(OR(AC374="",AD374=""),0,IFERROR(INDEX(#REF!,MATCH(AC374,#REF!,0))*AD374,0))</f>
        <v>0</v>
      </c>
      <c r="AF374" s="7"/>
      <c r="AG374" s="74"/>
      <c r="AH374" s="101">
        <f>IF(OR(AF374="",AG374=""),0,IFERROR(INDEX(#REF!,MATCH(AF374,#REF!,0))*AG374,0))</f>
        <v>0</v>
      </c>
      <c r="AI374" s="7"/>
      <c r="AJ374" s="74"/>
      <c r="AK374" s="101">
        <f>IF(OR(AI374="",AJ374=""),0,IFERROR(INDEX(#REF!,MATCH(AI374,#REF!,0))*AJ374,0))</f>
        <v>0</v>
      </c>
      <c r="AL374" s="101">
        <f t="shared" si="51"/>
        <v>0</v>
      </c>
      <c r="AM374" s="7"/>
      <c r="AN374" s="72"/>
      <c r="AO374" s="99">
        <f>IF(OR(AM374="",AN374=""),0,IFERROR(INDEX(#REF!,MATCH(AM374,#REF!,0))*AN374,0))</f>
        <v>0</v>
      </c>
      <c r="AP374" s="7"/>
      <c r="AQ374" s="74"/>
      <c r="AR374" s="99">
        <f>IF(OR(AP374="",AQ374=""),0,IFERROR(INDEX(#REF!,MATCH(AP374,#REF!,0))*AQ374,0))</f>
        <v>0</v>
      </c>
      <c r="AS374" s="7"/>
      <c r="AT374" s="74"/>
      <c r="AU374" s="99">
        <f>IF(OR(AS374="",AT374=""),0,IFERROR(INDEX(#REF!,MATCH(AS374,#REF!,0))*AT374,0))</f>
        <v>0</v>
      </c>
      <c r="AV374" s="7"/>
      <c r="AW374" s="74"/>
      <c r="AX374" s="99">
        <f>IF(OR(AV374="",AW374=""),0,IFERROR(INDEX(#REF!,MATCH(AV374,#REF!,0))*AW374,0))</f>
        <v>0</v>
      </c>
      <c r="AY374" s="7"/>
      <c r="AZ374" s="77"/>
      <c r="BA374" s="99">
        <f>IF(OR(AY374="",AZ374=""),0,IFERROR(INDEX(#REF!,MATCH(AY374,#REF!,0))*AZ374,0))</f>
        <v>0</v>
      </c>
      <c r="BB374" s="100">
        <f t="shared" si="52"/>
        <v>0</v>
      </c>
      <c r="BC374" s="110" t="str">
        <f t="shared" si="53"/>
        <v/>
      </c>
      <c r="BD374" s="62"/>
    </row>
    <row r="375" spans="1:56" ht="19.5" customHeight="1" x14ac:dyDescent="0.45">
      <c r="A375" s="104" t="str">
        <f t="shared" si="54"/>
        <v/>
      </c>
      <c r="B375" s="5"/>
      <c r="C375" s="109"/>
      <c r="D375" s="107"/>
      <c r="E375" s="6"/>
      <c r="F375" s="85"/>
      <c r="G375" s="85"/>
      <c r="H375" s="104" t="str">
        <f t="shared" si="46"/>
        <v/>
      </c>
      <c r="I375" s="103" t="str">
        <f>IFERROR(INDEX(#REF!,MATCH(E375,#REF!,0)),"")</f>
        <v/>
      </c>
      <c r="J375" s="6"/>
      <c r="K375" s="103" t="str">
        <f t="shared" si="47"/>
        <v/>
      </c>
      <c r="L375" s="8"/>
      <c r="M375" s="102" t="str">
        <f t="shared" si="48"/>
        <v/>
      </c>
      <c r="N375" s="9"/>
      <c r="O375" s="103" t="str">
        <f t="shared" si="49"/>
        <v/>
      </c>
      <c r="P375" s="6"/>
      <c r="Q375" s="7"/>
      <c r="R375" s="10"/>
      <c r="S375" s="29" t="str">
        <f t="shared" ca="1" si="50"/>
        <v/>
      </c>
      <c r="T375" s="7"/>
      <c r="U375" s="74"/>
      <c r="V375" s="101">
        <f>IF(OR(T375="",U375=""),0,IFERROR(INDEX(#REF!,MATCH(T375,#REF!,0))*U375,0))</f>
        <v>0</v>
      </c>
      <c r="W375" s="7"/>
      <c r="X375" s="74"/>
      <c r="Y375" s="101">
        <f>IF(OR(W375="",X375=""),0,IFERROR(INDEX(#REF!,MATCH(W375,#REF!,0))*X375,0))</f>
        <v>0</v>
      </c>
      <c r="Z375" s="7"/>
      <c r="AA375" s="74"/>
      <c r="AB375" s="101">
        <f>IF(OR(Z375="",AA375=""),0,IFERROR(INDEX(#REF!,MATCH(Z375,#REF!,0))*AA375,0))</f>
        <v>0</v>
      </c>
      <c r="AC375" s="7"/>
      <c r="AD375" s="74"/>
      <c r="AE375" s="101">
        <f>IF(OR(AC375="",AD375=""),0,IFERROR(INDEX(#REF!,MATCH(AC375,#REF!,0))*AD375,0))</f>
        <v>0</v>
      </c>
      <c r="AF375" s="7"/>
      <c r="AG375" s="74"/>
      <c r="AH375" s="101">
        <f>IF(OR(AF375="",AG375=""),0,IFERROR(INDEX(#REF!,MATCH(AF375,#REF!,0))*AG375,0))</f>
        <v>0</v>
      </c>
      <c r="AI375" s="7"/>
      <c r="AJ375" s="74"/>
      <c r="AK375" s="101">
        <f>IF(OR(AI375="",AJ375=""),0,IFERROR(INDEX(#REF!,MATCH(AI375,#REF!,0))*AJ375,0))</f>
        <v>0</v>
      </c>
      <c r="AL375" s="101">
        <f t="shared" si="51"/>
        <v>0</v>
      </c>
      <c r="AM375" s="7"/>
      <c r="AN375" s="72"/>
      <c r="AO375" s="99">
        <f>IF(OR(AM375="",AN375=""),0,IFERROR(INDEX(#REF!,MATCH(AM375,#REF!,0))*AN375,0))</f>
        <v>0</v>
      </c>
      <c r="AP375" s="7"/>
      <c r="AQ375" s="74"/>
      <c r="AR375" s="99">
        <f>IF(OR(AP375="",AQ375=""),0,IFERROR(INDEX(#REF!,MATCH(AP375,#REF!,0))*AQ375,0))</f>
        <v>0</v>
      </c>
      <c r="AS375" s="7"/>
      <c r="AT375" s="74"/>
      <c r="AU375" s="99">
        <f>IF(OR(AS375="",AT375=""),0,IFERROR(INDEX(#REF!,MATCH(AS375,#REF!,0))*AT375,0))</f>
        <v>0</v>
      </c>
      <c r="AV375" s="7"/>
      <c r="AW375" s="74"/>
      <c r="AX375" s="99">
        <f>IF(OR(AV375="",AW375=""),0,IFERROR(INDEX(#REF!,MATCH(AV375,#REF!,0))*AW375,0))</f>
        <v>0</v>
      </c>
      <c r="AY375" s="7"/>
      <c r="AZ375" s="77"/>
      <c r="BA375" s="99">
        <f>IF(OR(AY375="",AZ375=""),0,IFERROR(INDEX(#REF!,MATCH(AY375,#REF!,0))*AZ375,0))</f>
        <v>0</v>
      </c>
      <c r="BB375" s="100">
        <f t="shared" si="52"/>
        <v>0</v>
      </c>
      <c r="BC375" s="110" t="str">
        <f t="shared" si="53"/>
        <v/>
      </c>
      <c r="BD375" s="62"/>
    </row>
    <row r="376" spans="1:56" ht="19.5" customHeight="1" x14ac:dyDescent="0.45">
      <c r="A376" s="104" t="str">
        <f t="shared" si="54"/>
        <v/>
      </c>
      <c r="B376" s="5"/>
      <c r="C376" s="109"/>
      <c r="D376" s="107"/>
      <c r="E376" s="6"/>
      <c r="F376" s="85"/>
      <c r="G376" s="85"/>
      <c r="H376" s="104" t="str">
        <f t="shared" si="46"/>
        <v/>
      </c>
      <c r="I376" s="103" t="str">
        <f>IFERROR(INDEX(#REF!,MATCH(E376,#REF!,0)),"")</f>
        <v/>
      </c>
      <c r="J376" s="6"/>
      <c r="K376" s="103" t="str">
        <f t="shared" si="47"/>
        <v/>
      </c>
      <c r="L376" s="8"/>
      <c r="M376" s="102" t="str">
        <f t="shared" si="48"/>
        <v/>
      </c>
      <c r="N376" s="9"/>
      <c r="O376" s="103" t="str">
        <f t="shared" si="49"/>
        <v/>
      </c>
      <c r="P376" s="6"/>
      <c r="Q376" s="7"/>
      <c r="R376" s="10"/>
      <c r="S376" s="29" t="str">
        <f t="shared" ca="1" si="50"/>
        <v/>
      </c>
      <c r="T376" s="7"/>
      <c r="U376" s="74"/>
      <c r="V376" s="101">
        <f>IF(OR(T376="",U376=""),0,IFERROR(INDEX(#REF!,MATCH(T376,#REF!,0))*U376,0))</f>
        <v>0</v>
      </c>
      <c r="W376" s="7"/>
      <c r="X376" s="74"/>
      <c r="Y376" s="101">
        <f>IF(OR(W376="",X376=""),0,IFERROR(INDEX(#REF!,MATCH(W376,#REF!,0))*X376,0))</f>
        <v>0</v>
      </c>
      <c r="Z376" s="7"/>
      <c r="AA376" s="74"/>
      <c r="AB376" s="101">
        <f>IF(OR(Z376="",AA376=""),0,IFERROR(INDEX(#REF!,MATCH(Z376,#REF!,0))*AA376,0))</f>
        <v>0</v>
      </c>
      <c r="AC376" s="7"/>
      <c r="AD376" s="74"/>
      <c r="AE376" s="101">
        <f>IF(OR(AC376="",AD376=""),0,IFERROR(INDEX(#REF!,MATCH(AC376,#REF!,0))*AD376,0))</f>
        <v>0</v>
      </c>
      <c r="AF376" s="7"/>
      <c r="AG376" s="74"/>
      <c r="AH376" s="101">
        <f>IF(OR(AF376="",AG376=""),0,IFERROR(INDEX(#REF!,MATCH(AF376,#REF!,0))*AG376,0))</f>
        <v>0</v>
      </c>
      <c r="AI376" s="7"/>
      <c r="AJ376" s="74"/>
      <c r="AK376" s="101">
        <f>IF(OR(AI376="",AJ376=""),0,IFERROR(INDEX(#REF!,MATCH(AI376,#REF!,0))*AJ376,0))</f>
        <v>0</v>
      </c>
      <c r="AL376" s="101">
        <f t="shared" si="51"/>
        <v>0</v>
      </c>
      <c r="AM376" s="7"/>
      <c r="AN376" s="72"/>
      <c r="AO376" s="99">
        <f>IF(OR(AM376="",AN376=""),0,IFERROR(INDEX(#REF!,MATCH(AM376,#REF!,0))*AN376,0))</f>
        <v>0</v>
      </c>
      <c r="AP376" s="7"/>
      <c r="AQ376" s="74"/>
      <c r="AR376" s="99">
        <f>IF(OR(AP376="",AQ376=""),0,IFERROR(INDEX(#REF!,MATCH(AP376,#REF!,0))*AQ376,0))</f>
        <v>0</v>
      </c>
      <c r="AS376" s="7"/>
      <c r="AT376" s="74"/>
      <c r="AU376" s="99">
        <f>IF(OR(AS376="",AT376=""),0,IFERROR(INDEX(#REF!,MATCH(AS376,#REF!,0))*AT376,0))</f>
        <v>0</v>
      </c>
      <c r="AV376" s="7"/>
      <c r="AW376" s="74"/>
      <c r="AX376" s="99">
        <f>IF(OR(AV376="",AW376=""),0,IFERROR(INDEX(#REF!,MATCH(AV376,#REF!,0))*AW376,0))</f>
        <v>0</v>
      </c>
      <c r="AY376" s="7"/>
      <c r="AZ376" s="77"/>
      <c r="BA376" s="99">
        <f>IF(OR(AY376="",AZ376=""),0,IFERROR(INDEX(#REF!,MATCH(AY376,#REF!,0))*AZ376,0))</f>
        <v>0</v>
      </c>
      <c r="BB376" s="100">
        <f t="shared" si="52"/>
        <v>0</v>
      </c>
      <c r="BC376" s="110" t="str">
        <f t="shared" si="53"/>
        <v/>
      </c>
      <c r="BD376" s="62"/>
    </row>
    <row r="377" spans="1:56" ht="19.5" customHeight="1" x14ac:dyDescent="0.45">
      <c r="A377" s="104" t="str">
        <f t="shared" si="54"/>
        <v/>
      </c>
      <c r="B377" s="5"/>
      <c r="C377" s="109"/>
      <c r="D377" s="107"/>
      <c r="E377" s="6"/>
      <c r="F377" s="85"/>
      <c r="G377" s="85"/>
      <c r="H377" s="104" t="str">
        <f t="shared" si="46"/>
        <v/>
      </c>
      <c r="I377" s="103" t="str">
        <f>IFERROR(INDEX(#REF!,MATCH(E377,#REF!,0)),"")</f>
        <v/>
      </c>
      <c r="J377" s="6"/>
      <c r="K377" s="103" t="str">
        <f t="shared" si="47"/>
        <v/>
      </c>
      <c r="L377" s="8"/>
      <c r="M377" s="102" t="str">
        <f t="shared" si="48"/>
        <v/>
      </c>
      <c r="N377" s="9"/>
      <c r="O377" s="103" t="str">
        <f t="shared" si="49"/>
        <v/>
      </c>
      <c r="P377" s="6"/>
      <c r="Q377" s="7"/>
      <c r="R377" s="10"/>
      <c r="S377" s="29" t="str">
        <f t="shared" ca="1" si="50"/>
        <v/>
      </c>
      <c r="T377" s="7"/>
      <c r="U377" s="74"/>
      <c r="V377" s="101">
        <f>IF(OR(T377="",U377=""),0,IFERROR(INDEX(#REF!,MATCH(T377,#REF!,0))*U377,0))</f>
        <v>0</v>
      </c>
      <c r="W377" s="7"/>
      <c r="X377" s="74"/>
      <c r="Y377" s="101">
        <f>IF(OR(W377="",X377=""),0,IFERROR(INDEX(#REF!,MATCH(W377,#REF!,0))*X377,0))</f>
        <v>0</v>
      </c>
      <c r="Z377" s="7"/>
      <c r="AA377" s="74"/>
      <c r="AB377" s="101">
        <f>IF(OR(Z377="",AA377=""),0,IFERROR(INDEX(#REF!,MATCH(Z377,#REF!,0))*AA377,0))</f>
        <v>0</v>
      </c>
      <c r="AC377" s="7"/>
      <c r="AD377" s="74"/>
      <c r="AE377" s="101">
        <f>IF(OR(AC377="",AD377=""),0,IFERROR(INDEX(#REF!,MATCH(AC377,#REF!,0))*AD377,0))</f>
        <v>0</v>
      </c>
      <c r="AF377" s="7"/>
      <c r="AG377" s="74"/>
      <c r="AH377" s="101">
        <f>IF(OR(AF377="",AG377=""),0,IFERROR(INDEX(#REF!,MATCH(AF377,#REF!,0))*AG377,0))</f>
        <v>0</v>
      </c>
      <c r="AI377" s="7"/>
      <c r="AJ377" s="74"/>
      <c r="AK377" s="101">
        <f>IF(OR(AI377="",AJ377=""),0,IFERROR(INDEX(#REF!,MATCH(AI377,#REF!,0))*AJ377,0))</f>
        <v>0</v>
      </c>
      <c r="AL377" s="101">
        <f t="shared" si="51"/>
        <v>0</v>
      </c>
      <c r="AM377" s="7"/>
      <c r="AN377" s="72"/>
      <c r="AO377" s="99">
        <f>IF(OR(AM377="",AN377=""),0,IFERROR(INDEX(#REF!,MATCH(AM377,#REF!,0))*AN377,0))</f>
        <v>0</v>
      </c>
      <c r="AP377" s="7"/>
      <c r="AQ377" s="74"/>
      <c r="AR377" s="99">
        <f>IF(OR(AP377="",AQ377=""),0,IFERROR(INDEX(#REF!,MATCH(AP377,#REF!,0))*AQ377,0))</f>
        <v>0</v>
      </c>
      <c r="AS377" s="7"/>
      <c r="AT377" s="74"/>
      <c r="AU377" s="99">
        <f>IF(OR(AS377="",AT377=""),0,IFERROR(INDEX(#REF!,MATCH(AS377,#REF!,0))*AT377,0))</f>
        <v>0</v>
      </c>
      <c r="AV377" s="7"/>
      <c r="AW377" s="74"/>
      <c r="AX377" s="99">
        <f>IF(OR(AV377="",AW377=""),0,IFERROR(INDEX(#REF!,MATCH(AV377,#REF!,0))*AW377,0))</f>
        <v>0</v>
      </c>
      <c r="AY377" s="7"/>
      <c r="AZ377" s="77"/>
      <c r="BA377" s="99">
        <f>IF(OR(AY377="",AZ377=""),0,IFERROR(INDEX(#REF!,MATCH(AY377,#REF!,0))*AZ377,0))</f>
        <v>0</v>
      </c>
      <c r="BB377" s="100">
        <f t="shared" si="52"/>
        <v>0</v>
      </c>
      <c r="BC377" s="110" t="str">
        <f t="shared" si="53"/>
        <v/>
      </c>
      <c r="BD377" s="62"/>
    </row>
    <row r="378" spans="1:56" ht="19.5" customHeight="1" x14ac:dyDescent="0.45">
      <c r="A378" s="104" t="str">
        <f t="shared" si="54"/>
        <v/>
      </c>
      <c r="B378" s="5"/>
      <c r="C378" s="109"/>
      <c r="D378" s="107"/>
      <c r="E378" s="6"/>
      <c r="F378" s="85"/>
      <c r="G378" s="85"/>
      <c r="H378" s="104" t="str">
        <f t="shared" si="46"/>
        <v/>
      </c>
      <c r="I378" s="103" t="str">
        <f>IFERROR(INDEX(#REF!,MATCH(E378,#REF!,0)),"")</f>
        <v/>
      </c>
      <c r="J378" s="6"/>
      <c r="K378" s="103" t="str">
        <f t="shared" si="47"/>
        <v/>
      </c>
      <c r="L378" s="8"/>
      <c r="M378" s="102" t="str">
        <f t="shared" si="48"/>
        <v/>
      </c>
      <c r="N378" s="9"/>
      <c r="O378" s="103" t="str">
        <f t="shared" si="49"/>
        <v/>
      </c>
      <c r="P378" s="6"/>
      <c r="Q378" s="7"/>
      <c r="R378" s="10"/>
      <c r="S378" s="29" t="str">
        <f t="shared" ca="1" si="50"/>
        <v/>
      </c>
      <c r="T378" s="7"/>
      <c r="U378" s="74"/>
      <c r="V378" s="101">
        <f>IF(OR(T378="",U378=""),0,IFERROR(INDEX(#REF!,MATCH(T378,#REF!,0))*U378,0))</f>
        <v>0</v>
      </c>
      <c r="W378" s="7"/>
      <c r="X378" s="74"/>
      <c r="Y378" s="101">
        <f>IF(OR(W378="",X378=""),0,IFERROR(INDEX(#REF!,MATCH(W378,#REF!,0))*X378,0))</f>
        <v>0</v>
      </c>
      <c r="Z378" s="7"/>
      <c r="AA378" s="74"/>
      <c r="AB378" s="101">
        <f>IF(OR(Z378="",AA378=""),0,IFERROR(INDEX(#REF!,MATCH(Z378,#REF!,0))*AA378,0))</f>
        <v>0</v>
      </c>
      <c r="AC378" s="7"/>
      <c r="AD378" s="74"/>
      <c r="AE378" s="101">
        <f>IF(OR(AC378="",AD378=""),0,IFERROR(INDEX(#REF!,MATCH(AC378,#REF!,0))*AD378,0))</f>
        <v>0</v>
      </c>
      <c r="AF378" s="7"/>
      <c r="AG378" s="74"/>
      <c r="AH378" s="101">
        <f>IF(OR(AF378="",AG378=""),0,IFERROR(INDEX(#REF!,MATCH(AF378,#REF!,0))*AG378,0))</f>
        <v>0</v>
      </c>
      <c r="AI378" s="7"/>
      <c r="AJ378" s="74"/>
      <c r="AK378" s="101">
        <f>IF(OR(AI378="",AJ378=""),0,IFERROR(INDEX(#REF!,MATCH(AI378,#REF!,0))*AJ378,0))</f>
        <v>0</v>
      </c>
      <c r="AL378" s="101">
        <f t="shared" si="51"/>
        <v>0</v>
      </c>
      <c r="AM378" s="7"/>
      <c r="AN378" s="72"/>
      <c r="AO378" s="99">
        <f>IF(OR(AM378="",AN378=""),0,IFERROR(INDEX(#REF!,MATCH(AM378,#REF!,0))*AN378,0))</f>
        <v>0</v>
      </c>
      <c r="AP378" s="7"/>
      <c r="AQ378" s="74"/>
      <c r="AR378" s="99">
        <f>IF(OR(AP378="",AQ378=""),0,IFERROR(INDEX(#REF!,MATCH(AP378,#REF!,0))*AQ378,0))</f>
        <v>0</v>
      </c>
      <c r="AS378" s="7"/>
      <c r="AT378" s="74"/>
      <c r="AU378" s="99">
        <f>IF(OR(AS378="",AT378=""),0,IFERROR(INDEX(#REF!,MATCH(AS378,#REF!,0))*AT378,0))</f>
        <v>0</v>
      </c>
      <c r="AV378" s="7"/>
      <c r="AW378" s="74"/>
      <c r="AX378" s="99">
        <f>IF(OR(AV378="",AW378=""),0,IFERROR(INDEX(#REF!,MATCH(AV378,#REF!,0))*AW378,0))</f>
        <v>0</v>
      </c>
      <c r="AY378" s="7"/>
      <c r="AZ378" s="77"/>
      <c r="BA378" s="99">
        <f>IF(OR(AY378="",AZ378=""),0,IFERROR(INDEX(#REF!,MATCH(AY378,#REF!,0))*AZ378,0))</f>
        <v>0</v>
      </c>
      <c r="BB378" s="100">
        <f t="shared" si="52"/>
        <v>0</v>
      </c>
      <c r="BC378" s="110" t="str">
        <f t="shared" si="53"/>
        <v/>
      </c>
      <c r="BD378" s="62"/>
    </row>
    <row r="379" spans="1:56" ht="19.5" customHeight="1" x14ac:dyDescent="0.45">
      <c r="A379" s="104" t="str">
        <f t="shared" si="54"/>
        <v/>
      </c>
      <c r="B379" s="5"/>
      <c r="C379" s="109"/>
      <c r="D379" s="107"/>
      <c r="E379" s="6"/>
      <c r="F379" s="85"/>
      <c r="G379" s="85"/>
      <c r="H379" s="104" t="str">
        <f t="shared" si="46"/>
        <v/>
      </c>
      <c r="I379" s="103" t="str">
        <f>IFERROR(INDEX(#REF!,MATCH(E379,#REF!,0)),"")</f>
        <v/>
      </c>
      <c r="J379" s="6"/>
      <c r="K379" s="103" t="str">
        <f t="shared" si="47"/>
        <v/>
      </c>
      <c r="L379" s="8"/>
      <c r="M379" s="102" t="str">
        <f t="shared" si="48"/>
        <v/>
      </c>
      <c r="N379" s="9"/>
      <c r="O379" s="103" t="str">
        <f t="shared" si="49"/>
        <v/>
      </c>
      <c r="P379" s="6"/>
      <c r="Q379" s="7"/>
      <c r="R379" s="10"/>
      <c r="S379" s="29" t="str">
        <f t="shared" ca="1" si="50"/>
        <v/>
      </c>
      <c r="T379" s="7"/>
      <c r="U379" s="74"/>
      <c r="V379" s="101">
        <f>IF(OR(T379="",U379=""),0,IFERROR(INDEX(#REF!,MATCH(T379,#REF!,0))*U379,0))</f>
        <v>0</v>
      </c>
      <c r="W379" s="7"/>
      <c r="X379" s="74"/>
      <c r="Y379" s="101">
        <f>IF(OR(W379="",X379=""),0,IFERROR(INDEX(#REF!,MATCH(W379,#REF!,0))*X379,0))</f>
        <v>0</v>
      </c>
      <c r="Z379" s="7"/>
      <c r="AA379" s="74"/>
      <c r="AB379" s="101">
        <f>IF(OR(Z379="",AA379=""),0,IFERROR(INDEX(#REF!,MATCH(Z379,#REF!,0))*AA379,0))</f>
        <v>0</v>
      </c>
      <c r="AC379" s="7"/>
      <c r="AD379" s="74"/>
      <c r="AE379" s="101">
        <f>IF(OR(AC379="",AD379=""),0,IFERROR(INDEX(#REF!,MATCH(AC379,#REF!,0))*AD379,0))</f>
        <v>0</v>
      </c>
      <c r="AF379" s="7"/>
      <c r="AG379" s="74"/>
      <c r="AH379" s="101">
        <f>IF(OR(AF379="",AG379=""),0,IFERROR(INDEX(#REF!,MATCH(AF379,#REF!,0))*AG379,0))</f>
        <v>0</v>
      </c>
      <c r="AI379" s="7"/>
      <c r="AJ379" s="74"/>
      <c r="AK379" s="101">
        <f>IF(OR(AI379="",AJ379=""),0,IFERROR(INDEX(#REF!,MATCH(AI379,#REF!,0))*AJ379,0))</f>
        <v>0</v>
      </c>
      <c r="AL379" s="101">
        <f t="shared" si="51"/>
        <v>0</v>
      </c>
      <c r="AM379" s="7"/>
      <c r="AN379" s="72"/>
      <c r="AO379" s="99">
        <f>IF(OR(AM379="",AN379=""),0,IFERROR(INDEX(#REF!,MATCH(AM379,#REF!,0))*AN379,0))</f>
        <v>0</v>
      </c>
      <c r="AP379" s="7"/>
      <c r="AQ379" s="74"/>
      <c r="AR379" s="99">
        <f>IF(OR(AP379="",AQ379=""),0,IFERROR(INDEX(#REF!,MATCH(AP379,#REF!,0))*AQ379,0))</f>
        <v>0</v>
      </c>
      <c r="AS379" s="7"/>
      <c r="AT379" s="74"/>
      <c r="AU379" s="99">
        <f>IF(OR(AS379="",AT379=""),0,IFERROR(INDEX(#REF!,MATCH(AS379,#REF!,0))*AT379,0))</f>
        <v>0</v>
      </c>
      <c r="AV379" s="7"/>
      <c r="AW379" s="74"/>
      <c r="AX379" s="99">
        <f>IF(OR(AV379="",AW379=""),0,IFERROR(INDEX(#REF!,MATCH(AV379,#REF!,0))*AW379,0))</f>
        <v>0</v>
      </c>
      <c r="AY379" s="7"/>
      <c r="AZ379" s="77"/>
      <c r="BA379" s="99">
        <f>IF(OR(AY379="",AZ379=""),0,IFERROR(INDEX(#REF!,MATCH(AY379,#REF!,0))*AZ379,0))</f>
        <v>0</v>
      </c>
      <c r="BB379" s="100">
        <f t="shared" si="52"/>
        <v>0</v>
      </c>
      <c r="BC379" s="110" t="str">
        <f t="shared" si="53"/>
        <v/>
      </c>
      <c r="BD379" s="62"/>
    </row>
    <row r="380" spans="1:56" ht="19.5" customHeight="1" x14ac:dyDescent="0.45">
      <c r="A380" s="104" t="str">
        <f t="shared" si="54"/>
        <v/>
      </c>
      <c r="B380" s="5"/>
      <c r="C380" s="109"/>
      <c r="D380" s="107"/>
      <c r="E380" s="6"/>
      <c r="F380" s="85"/>
      <c r="G380" s="85"/>
      <c r="H380" s="104" t="str">
        <f t="shared" si="46"/>
        <v/>
      </c>
      <c r="I380" s="103" t="str">
        <f>IFERROR(INDEX(#REF!,MATCH(E380,#REF!,0)),"")</f>
        <v/>
      </c>
      <c r="J380" s="6"/>
      <c r="K380" s="103" t="str">
        <f t="shared" si="47"/>
        <v/>
      </c>
      <c r="L380" s="8"/>
      <c r="M380" s="102" t="str">
        <f t="shared" si="48"/>
        <v/>
      </c>
      <c r="N380" s="9"/>
      <c r="O380" s="103" t="str">
        <f t="shared" si="49"/>
        <v/>
      </c>
      <c r="P380" s="6"/>
      <c r="Q380" s="7"/>
      <c r="R380" s="10"/>
      <c r="S380" s="29" t="str">
        <f t="shared" ca="1" si="50"/>
        <v/>
      </c>
      <c r="T380" s="7"/>
      <c r="U380" s="74"/>
      <c r="V380" s="101">
        <f>IF(OR(T380="",U380=""),0,IFERROR(INDEX(#REF!,MATCH(T380,#REF!,0))*U380,0))</f>
        <v>0</v>
      </c>
      <c r="W380" s="7"/>
      <c r="X380" s="74"/>
      <c r="Y380" s="101">
        <f>IF(OR(W380="",X380=""),0,IFERROR(INDEX(#REF!,MATCH(W380,#REF!,0))*X380,0))</f>
        <v>0</v>
      </c>
      <c r="Z380" s="7"/>
      <c r="AA380" s="74"/>
      <c r="AB380" s="101">
        <f>IF(OR(Z380="",AA380=""),0,IFERROR(INDEX(#REF!,MATCH(Z380,#REF!,0))*AA380,0))</f>
        <v>0</v>
      </c>
      <c r="AC380" s="7"/>
      <c r="AD380" s="74"/>
      <c r="AE380" s="101">
        <f>IF(OR(AC380="",AD380=""),0,IFERROR(INDEX(#REF!,MATCH(AC380,#REF!,0))*AD380,0))</f>
        <v>0</v>
      </c>
      <c r="AF380" s="7"/>
      <c r="AG380" s="74"/>
      <c r="AH380" s="101">
        <f>IF(OR(AF380="",AG380=""),0,IFERROR(INDEX(#REF!,MATCH(AF380,#REF!,0))*AG380,0))</f>
        <v>0</v>
      </c>
      <c r="AI380" s="7"/>
      <c r="AJ380" s="74"/>
      <c r="AK380" s="101">
        <f>IF(OR(AI380="",AJ380=""),0,IFERROR(INDEX(#REF!,MATCH(AI380,#REF!,0))*AJ380,0))</f>
        <v>0</v>
      </c>
      <c r="AL380" s="101">
        <f t="shared" si="51"/>
        <v>0</v>
      </c>
      <c r="AM380" s="7"/>
      <c r="AN380" s="72"/>
      <c r="AO380" s="99">
        <f>IF(OR(AM380="",AN380=""),0,IFERROR(INDEX(#REF!,MATCH(AM380,#REF!,0))*AN380,0))</f>
        <v>0</v>
      </c>
      <c r="AP380" s="7"/>
      <c r="AQ380" s="74"/>
      <c r="AR380" s="99">
        <f>IF(OR(AP380="",AQ380=""),0,IFERROR(INDEX(#REF!,MATCH(AP380,#REF!,0))*AQ380,0))</f>
        <v>0</v>
      </c>
      <c r="AS380" s="7"/>
      <c r="AT380" s="74"/>
      <c r="AU380" s="99">
        <f>IF(OR(AS380="",AT380=""),0,IFERROR(INDEX(#REF!,MATCH(AS380,#REF!,0))*AT380,0))</f>
        <v>0</v>
      </c>
      <c r="AV380" s="7"/>
      <c r="AW380" s="74"/>
      <c r="AX380" s="99">
        <f>IF(OR(AV380="",AW380=""),0,IFERROR(INDEX(#REF!,MATCH(AV380,#REF!,0))*AW380,0))</f>
        <v>0</v>
      </c>
      <c r="AY380" s="7"/>
      <c r="AZ380" s="77"/>
      <c r="BA380" s="99">
        <f>IF(OR(AY380="",AZ380=""),0,IFERROR(INDEX(#REF!,MATCH(AY380,#REF!,0))*AZ380,0))</f>
        <v>0</v>
      </c>
      <c r="BB380" s="100">
        <f t="shared" si="52"/>
        <v>0</v>
      </c>
      <c r="BC380" s="110" t="str">
        <f t="shared" si="53"/>
        <v/>
      </c>
      <c r="BD380" s="62"/>
    </row>
    <row r="381" spans="1:56" ht="19.5" customHeight="1" x14ac:dyDescent="0.45">
      <c r="A381" s="104" t="str">
        <f t="shared" si="54"/>
        <v/>
      </c>
      <c r="B381" s="5"/>
      <c r="C381" s="109"/>
      <c r="D381" s="107"/>
      <c r="E381" s="6"/>
      <c r="F381" s="85"/>
      <c r="G381" s="85"/>
      <c r="H381" s="104" t="str">
        <f t="shared" si="46"/>
        <v/>
      </c>
      <c r="I381" s="103" t="str">
        <f>IFERROR(INDEX(#REF!,MATCH(E381,#REF!,0)),"")</f>
        <v/>
      </c>
      <c r="J381" s="6"/>
      <c r="K381" s="103" t="str">
        <f t="shared" si="47"/>
        <v/>
      </c>
      <c r="L381" s="8"/>
      <c r="M381" s="102" t="str">
        <f t="shared" si="48"/>
        <v/>
      </c>
      <c r="N381" s="9"/>
      <c r="O381" s="103" t="str">
        <f t="shared" si="49"/>
        <v/>
      </c>
      <c r="P381" s="6"/>
      <c r="Q381" s="7"/>
      <c r="R381" s="10"/>
      <c r="S381" s="29" t="str">
        <f t="shared" ca="1" si="50"/>
        <v/>
      </c>
      <c r="T381" s="7"/>
      <c r="U381" s="74"/>
      <c r="V381" s="101">
        <f>IF(OR(T381="",U381=""),0,IFERROR(INDEX(#REF!,MATCH(T381,#REF!,0))*U381,0))</f>
        <v>0</v>
      </c>
      <c r="W381" s="7"/>
      <c r="X381" s="74"/>
      <c r="Y381" s="101">
        <f>IF(OR(W381="",X381=""),0,IFERROR(INDEX(#REF!,MATCH(W381,#REF!,0))*X381,0))</f>
        <v>0</v>
      </c>
      <c r="Z381" s="7"/>
      <c r="AA381" s="74"/>
      <c r="AB381" s="101">
        <f>IF(OR(Z381="",AA381=""),0,IFERROR(INDEX(#REF!,MATCH(Z381,#REF!,0))*AA381,0))</f>
        <v>0</v>
      </c>
      <c r="AC381" s="7"/>
      <c r="AD381" s="74"/>
      <c r="AE381" s="101">
        <f>IF(OR(AC381="",AD381=""),0,IFERROR(INDEX(#REF!,MATCH(AC381,#REF!,0))*AD381,0))</f>
        <v>0</v>
      </c>
      <c r="AF381" s="7"/>
      <c r="AG381" s="74"/>
      <c r="AH381" s="101">
        <f>IF(OR(AF381="",AG381=""),0,IFERROR(INDEX(#REF!,MATCH(AF381,#REF!,0))*AG381,0))</f>
        <v>0</v>
      </c>
      <c r="AI381" s="7"/>
      <c r="AJ381" s="74"/>
      <c r="AK381" s="101">
        <f>IF(OR(AI381="",AJ381=""),0,IFERROR(INDEX(#REF!,MATCH(AI381,#REF!,0))*AJ381,0))</f>
        <v>0</v>
      </c>
      <c r="AL381" s="101">
        <f t="shared" si="51"/>
        <v>0</v>
      </c>
      <c r="AM381" s="7"/>
      <c r="AN381" s="72"/>
      <c r="AO381" s="99">
        <f>IF(OR(AM381="",AN381=""),0,IFERROR(INDEX(#REF!,MATCH(AM381,#REF!,0))*AN381,0))</f>
        <v>0</v>
      </c>
      <c r="AP381" s="7"/>
      <c r="AQ381" s="74"/>
      <c r="AR381" s="99">
        <f>IF(OR(AP381="",AQ381=""),0,IFERROR(INDEX(#REF!,MATCH(AP381,#REF!,0))*AQ381,0))</f>
        <v>0</v>
      </c>
      <c r="AS381" s="7"/>
      <c r="AT381" s="74"/>
      <c r="AU381" s="99">
        <f>IF(OR(AS381="",AT381=""),0,IFERROR(INDEX(#REF!,MATCH(AS381,#REF!,0))*AT381,0))</f>
        <v>0</v>
      </c>
      <c r="AV381" s="7"/>
      <c r="AW381" s="74"/>
      <c r="AX381" s="99">
        <f>IF(OR(AV381="",AW381=""),0,IFERROR(INDEX(#REF!,MATCH(AV381,#REF!,0))*AW381,0))</f>
        <v>0</v>
      </c>
      <c r="AY381" s="7"/>
      <c r="AZ381" s="77"/>
      <c r="BA381" s="99">
        <f>IF(OR(AY381="",AZ381=""),0,IFERROR(INDEX(#REF!,MATCH(AY381,#REF!,0))*AZ381,0))</f>
        <v>0</v>
      </c>
      <c r="BB381" s="100">
        <f t="shared" si="52"/>
        <v>0</v>
      </c>
      <c r="BC381" s="110" t="str">
        <f t="shared" si="53"/>
        <v/>
      </c>
      <c r="BD381" s="62"/>
    </row>
    <row r="382" spans="1:56" ht="19.5" customHeight="1" x14ac:dyDescent="0.45">
      <c r="A382" s="104" t="str">
        <f t="shared" si="54"/>
        <v/>
      </c>
      <c r="B382" s="5"/>
      <c r="C382" s="109"/>
      <c r="D382" s="107"/>
      <c r="E382" s="6"/>
      <c r="F382" s="85"/>
      <c r="G382" s="85"/>
      <c r="H382" s="104" t="str">
        <f t="shared" si="46"/>
        <v/>
      </c>
      <c r="I382" s="103" t="str">
        <f>IFERROR(INDEX(#REF!,MATCH(E382,#REF!,0)),"")</f>
        <v/>
      </c>
      <c r="J382" s="6"/>
      <c r="K382" s="103" t="str">
        <f t="shared" si="47"/>
        <v/>
      </c>
      <c r="L382" s="8"/>
      <c r="M382" s="102" t="str">
        <f t="shared" si="48"/>
        <v/>
      </c>
      <c r="N382" s="9"/>
      <c r="O382" s="103" t="str">
        <f t="shared" si="49"/>
        <v/>
      </c>
      <c r="P382" s="6"/>
      <c r="Q382" s="7"/>
      <c r="R382" s="10"/>
      <c r="S382" s="29" t="str">
        <f t="shared" ca="1" si="50"/>
        <v/>
      </c>
      <c r="T382" s="7"/>
      <c r="U382" s="74"/>
      <c r="V382" s="101">
        <f>IF(OR(T382="",U382=""),0,IFERROR(INDEX(#REF!,MATCH(T382,#REF!,0))*U382,0))</f>
        <v>0</v>
      </c>
      <c r="W382" s="7"/>
      <c r="X382" s="74"/>
      <c r="Y382" s="101">
        <f>IF(OR(W382="",X382=""),0,IFERROR(INDEX(#REF!,MATCH(W382,#REF!,0))*X382,0))</f>
        <v>0</v>
      </c>
      <c r="Z382" s="7"/>
      <c r="AA382" s="74"/>
      <c r="AB382" s="101">
        <f>IF(OR(Z382="",AA382=""),0,IFERROR(INDEX(#REF!,MATCH(Z382,#REF!,0))*AA382,0))</f>
        <v>0</v>
      </c>
      <c r="AC382" s="7"/>
      <c r="AD382" s="74"/>
      <c r="AE382" s="101">
        <f>IF(OR(AC382="",AD382=""),0,IFERROR(INDEX(#REF!,MATCH(AC382,#REF!,0))*AD382,0))</f>
        <v>0</v>
      </c>
      <c r="AF382" s="7"/>
      <c r="AG382" s="74"/>
      <c r="AH382" s="101">
        <f>IF(OR(AF382="",AG382=""),0,IFERROR(INDEX(#REF!,MATCH(AF382,#REF!,0))*AG382,0))</f>
        <v>0</v>
      </c>
      <c r="AI382" s="7"/>
      <c r="AJ382" s="74"/>
      <c r="AK382" s="101">
        <f>IF(OR(AI382="",AJ382=""),0,IFERROR(INDEX(#REF!,MATCH(AI382,#REF!,0))*AJ382,0))</f>
        <v>0</v>
      </c>
      <c r="AL382" s="101">
        <f t="shared" si="51"/>
        <v>0</v>
      </c>
      <c r="AM382" s="7"/>
      <c r="AN382" s="72"/>
      <c r="AO382" s="99">
        <f>IF(OR(AM382="",AN382=""),0,IFERROR(INDEX(#REF!,MATCH(AM382,#REF!,0))*AN382,0))</f>
        <v>0</v>
      </c>
      <c r="AP382" s="7"/>
      <c r="AQ382" s="74"/>
      <c r="AR382" s="99">
        <f>IF(OR(AP382="",AQ382=""),0,IFERROR(INDEX(#REF!,MATCH(AP382,#REF!,0))*AQ382,0))</f>
        <v>0</v>
      </c>
      <c r="AS382" s="7"/>
      <c r="AT382" s="74"/>
      <c r="AU382" s="99">
        <f>IF(OR(AS382="",AT382=""),0,IFERROR(INDEX(#REF!,MATCH(AS382,#REF!,0))*AT382,0))</f>
        <v>0</v>
      </c>
      <c r="AV382" s="7"/>
      <c r="AW382" s="74"/>
      <c r="AX382" s="99">
        <f>IF(OR(AV382="",AW382=""),0,IFERROR(INDEX(#REF!,MATCH(AV382,#REF!,0))*AW382,0))</f>
        <v>0</v>
      </c>
      <c r="AY382" s="7"/>
      <c r="AZ382" s="77"/>
      <c r="BA382" s="99">
        <f>IF(OR(AY382="",AZ382=""),0,IFERROR(INDEX(#REF!,MATCH(AY382,#REF!,0))*AZ382,0))</f>
        <v>0</v>
      </c>
      <c r="BB382" s="100">
        <f t="shared" si="52"/>
        <v>0</v>
      </c>
      <c r="BC382" s="110" t="str">
        <f t="shared" si="53"/>
        <v/>
      </c>
      <c r="BD382" s="62"/>
    </row>
    <row r="383" spans="1:56" ht="19.5" customHeight="1" x14ac:dyDescent="0.45">
      <c r="A383" s="104" t="str">
        <f t="shared" si="54"/>
        <v/>
      </c>
      <c r="B383" s="5"/>
      <c r="C383" s="109"/>
      <c r="D383" s="107"/>
      <c r="E383" s="6"/>
      <c r="F383" s="85"/>
      <c r="G383" s="85"/>
      <c r="H383" s="104" t="str">
        <f t="shared" si="46"/>
        <v/>
      </c>
      <c r="I383" s="103" t="str">
        <f>IFERROR(INDEX(#REF!,MATCH(E383,#REF!,0)),"")</f>
        <v/>
      </c>
      <c r="J383" s="6"/>
      <c r="K383" s="103" t="str">
        <f t="shared" si="47"/>
        <v/>
      </c>
      <c r="L383" s="8"/>
      <c r="M383" s="102" t="str">
        <f t="shared" si="48"/>
        <v/>
      </c>
      <c r="N383" s="9"/>
      <c r="O383" s="103" t="str">
        <f t="shared" si="49"/>
        <v/>
      </c>
      <c r="P383" s="6"/>
      <c r="Q383" s="7"/>
      <c r="R383" s="10"/>
      <c r="S383" s="29" t="str">
        <f t="shared" ca="1" si="50"/>
        <v/>
      </c>
      <c r="T383" s="7"/>
      <c r="U383" s="74"/>
      <c r="V383" s="101">
        <f>IF(OR(T383="",U383=""),0,IFERROR(INDEX(#REF!,MATCH(T383,#REF!,0))*U383,0))</f>
        <v>0</v>
      </c>
      <c r="W383" s="7"/>
      <c r="X383" s="74"/>
      <c r="Y383" s="101">
        <f>IF(OR(W383="",X383=""),0,IFERROR(INDEX(#REF!,MATCH(W383,#REF!,0))*X383,0))</f>
        <v>0</v>
      </c>
      <c r="Z383" s="7"/>
      <c r="AA383" s="74"/>
      <c r="AB383" s="101">
        <f>IF(OR(Z383="",AA383=""),0,IFERROR(INDEX(#REF!,MATCH(Z383,#REF!,0))*AA383,0))</f>
        <v>0</v>
      </c>
      <c r="AC383" s="7"/>
      <c r="AD383" s="74"/>
      <c r="AE383" s="101">
        <f>IF(OR(AC383="",AD383=""),0,IFERROR(INDEX(#REF!,MATCH(AC383,#REF!,0))*AD383,0))</f>
        <v>0</v>
      </c>
      <c r="AF383" s="7"/>
      <c r="AG383" s="74"/>
      <c r="AH383" s="101">
        <f>IF(OR(AF383="",AG383=""),0,IFERROR(INDEX(#REF!,MATCH(AF383,#REF!,0))*AG383,0))</f>
        <v>0</v>
      </c>
      <c r="AI383" s="7"/>
      <c r="AJ383" s="74"/>
      <c r="AK383" s="101">
        <f>IF(OR(AI383="",AJ383=""),0,IFERROR(INDEX(#REF!,MATCH(AI383,#REF!,0))*AJ383,0))</f>
        <v>0</v>
      </c>
      <c r="AL383" s="101">
        <f t="shared" si="51"/>
        <v>0</v>
      </c>
      <c r="AM383" s="7"/>
      <c r="AN383" s="72"/>
      <c r="AO383" s="99">
        <f>IF(OR(AM383="",AN383=""),0,IFERROR(INDEX(#REF!,MATCH(AM383,#REF!,0))*AN383,0))</f>
        <v>0</v>
      </c>
      <c r="AP383" s="7"/>
      <c r="AQ383" s="74"/>
      <c r="AR383" s="99">
        <f>IF(OR(AP383="",AQ383=""),0,IFERROR(INDEX(#REF!,MATCH(AP383,#REF!,0))*AQ383,0))</f>
        <v>0</v>
      </c>
      <c r="AS383" s="7"/>
      <c r="AT383" s="74"/>
      <c r="AU383" s="99">
        <f>IF(OR(AS383="",AT383=""),0,IFERROR(INDEX(#REF!,MATCH(AS383,#REF!,0))*AT383,0))</f>
        <v>0</v>
      </c>
      <c r="AV383" s="7"/>
      <c r="AW383" s="74"/>
      <c r="AX383" s="99">
        <f>IF(OR(AV383="",AW383=""),0,IFERROR(INDEX(#REF!,MATCH(AV383,#REF!,0))*AW383,0))</f>
        <v>0</v>
      </c>
      <c r="AY383" s="7"/>
      <c r="AZ383" s="77"/>
      <c r="BA383" s="99">
        <f>IF(OR(AY383="",AZ383=""),0,IFERROR(INDEX(#REF!,MATCH(AY383,#REF!,0))*AZ383,0))</f>
        <v>0</v>
      </c>
      <c r="BB383" s="100">
        <f t="shared" si="52"/>
        <v>0</v>
      </c>
      <c r="BC383" s="110" t="str">
        <f t="shared" si="53"/>
        <v/>
      </c>
      <c r="BD383" s="62"/>
    </row>
    <row r="384" spans="1:56" ht="19.5" customHeight="1" x14ac:dyDescent="0.45">
      <c r="A384" s="104" t="str">
        <f t="shared" si="54"/>
        <v/>
      </c>
      <c r="B384" s="5"/>
      <c r="C384" s="109"/>
      <c r="D384" s="107"/>
      <c r="E384" s="6"/>
      <c r="F384" s="85"/>
      <c r="G384" s="85"/>
      <c r="H384" s="104" t="str">
        <f t="shared" si="46"/>
        <v/>
      </c>
      <c r="I384" s="103" t="str">
        <f>IFERROR(INDEX(#REF!,MATCH(E384,#REF!,0)),"")</f>
        <v/>
      </c>
      <c r="J384" s="6"/>
      <c r="K384" s="103" t="str">
        <f t="shared" si="47"/>
        <v/>
      </c>
      <c r="L384" s="8"/>
      <c r="M384" s="102" t="str">
        <f t="shared" si="48"/>
        <v/>
      </c>
      <c r="N384" s="9"/>
      <c r="O384" s="103" t="str">
        <f t="shared" si="49"/>
        <v/>
      </c>
      <c r="P384" s="6"/>
      <c r="Q384" s="7"/>
      <c r="R384" s="10"/>
      <c r="S384" s="29" t="str">
        <f t="shared" ca="1" si="50"/>
        <v/>
      </c>
      <c r="T384" s="7"/>
      <c r="U384" s="74"/>
      <c r="V384" s="101">
        <f>IF(OR(T384="",U384=""),0,IFERROR(INDEX(#REF!,MATCH(T384,#REF!,0))*U384,0))</f>
        <v>0</v>
      </c>
      <c r="W384" s="7"/>
      <c r="X384" s="74"/>
      <c r="Y384" s="101">
        <f>IF(OR(W384="",X384=""),0,IFERROR(INDEX(#REF!,MATCH(W384,#REF!,0))*X384,0))</f>
        <v>0</v>
      </c>
      <c r="Z384" s="7"/>
      <c r="AA384" s="74"/>
      <c r="AB384" s="101">
        <f>IF(OR(Z384="",AA384=""),0,IFERROR(INDEX(#REF!,MATCH(Z384,#REF!,0))*AA384,0))</f>
        <v>0</v>
      </c>
      <c r="AC384" s="7"/>
      <c r="AD384" s="74"/>
      <c r="AE384" s="101">
        <f>IF(OR(AC384="",AD384=""),0,IFERROR(INDEX(#REF!,MATCH(AC384,#REF!,0))*AD384,0))</f>
        <v>0</v>
      </c>
      <c r="AF384" s="7"/>
      <c r="AG384" s="74"/>
      <c r="AH384" s="101">
        <f>IF(OR(AF384="",AG384=""),0,IFERROR(INDEX(#REF!,MATCH(AF384,#REF!,0))*AG384,0))</f>
        <v>0</v>
      </c>
      <c r="AI384" s="7"/>
      <c r="AJ384" s="74"/>
      <c r="AK384" s="101">
        <f>IF(OR(AI384="",AJ384=""),0,IFERROR(INDEX(#REF!,MATCH(AI384,#REF!,0))*AJ384,0))</f>
        <v>0</v>
      </c>
      <c r="AL384" s="101">
        <f t="shared" si="51"/>
        <v>0</v>
      </c>
      <c r="AM384" s="7"/>
      <c r="AN384" s="72"/>
      <c r="AO384" s="99">
        <f>IF(OR(AM384="",AN384=""),0,IFERROR(INDEX(#REF!,MATCH(AM384,#REF!,0))*AN384,0))</f>
        <v>0</v>
      </c>
      <c r="AP384" s="7"/>
      <c r="AQ384" s="74"/>
      <c r="AR384" s="99">
        <f>IF(OR(AP384="",AQ384=""),0,IFERROR(INDEX(#REF!,MATCH(AP384,#REF!,0))*AQ384,0))</f>
        <v>0</v>
      </c>
      <c r="AS384" s="7"/>
      <c r="AT384" s="74"/>
      <c r="AU384" s="99">
        <f>IF(OR(AS384="",AT384=""),0,IFERROR(INDEX(#REF!,MATCH(AS384,#REF!,0))*AT384,0))</f>
        <v>0</v>
      </c>
      <c r="AV384" s="7"/>
      <c r="AW384" s="74"/>
      <c r="AX384" s="99">
        <f>IF(OR(AV384="",AW384=""),0,IFERROR(INDEX(#REF!,MATCH(AV384,#REF!,0))*AW384,0))</f>
        <v>0</v>
      </c>
      <c r="AY384" s="7"/>
      <c r="AZ384" s="77"/>
      <c r="BA384" s="99">
        <f>IF(OR(AY384="",AZ384=""),0,IFERROR(INDEX(#REF!,MATCH(AY384,#REF!,0))*AZ384,0))</f>
        <v>0</v>
      </c>
      <c r="BB384" s="100">
        <f t="shared" si="52"/>
        <v>0</v>
      </c>
      <c r="BC384" s="110" t="str">
        <f t="shared" si="53"/>
        <v/>
      </c>
      <c r="BD384" s="62"/>
    </row>
    <row r="385" spans="1:56" ht="19.5" customHeight="1" x14ac:dyDescent="0.45">
      <c r="A385" s="104" t="str">
        <f t="shared" si="54"/>
        <v/>
      </c>
      <c r="B385" s="5"/>
      <c r="C385" s="109"/>
      <c r="D385" s="107"/>
      <c r="E385" s="6"/>
      <c r="F385" s="85"/>
      <c r="G385" s="85"/>
      <c r="H385" s="104" t="str">
        <f t="shared" si="46"/>
        <v/>
      </c>
      <c r="I385" s="103" t="str">
        <f>IFERROR(INDEX(#REF!,MATCH(E385,#REF!,0)),"")</f>
        <v/>
      </c>
      <c r="J385" s="6"/>
      <c r="K385" s="103" t="str">
        <f t="shared" si="47"/>
        <v/>
      </c>
      <c r="L385" s="8"/>
      <c r="M385" s="102" t="str">
        <f t="shared" si="48"/>
        <v/>
      </c>
      <c r="N385" s="9"/>
      <c r="O385" s="103" t="str">
        <f t="shared" si="49"/>
        <v/>
      </c>
      <c r="P385" s="6"/>
      <c r="Q385" s="7"/>
      <c r="R385" s="10"/>
      <c r="S385" s="29" t="str">
        <f t="shared" ca="1" si="50"/>
        <v/>
      </c>
      <c r="T385" s="7"/>
      <c r="U385" s="74"/>
      <c r="V385" s="101">
        <f>IF(OR(T385="",U385=""),0,IFERROR(INDEX(#REF!,MATCH(T385,#REF!,0))*U385,0))</f>
        <v>0</v>
      </c>
      <c r="W385" s="7"/>
      <c r="X385" s="74"/>
      <c r="Y385" s="101">
        <f>IF(OR(W385="",X385=""),0,IFERROR(INDEX(#REF!,MATCH(W385,#REF!,0))*X385,0))</f>
        <v>0</v>
      </c>
      <c r="Z385" s="7"/>
      <c r="AA385" s="74"/>
      <c r="AB385" s="101">
        <f>IF(OR(Z385="",AA385=""),0,IFERROR(INDEX(#REF!,MATCH(Z385,#REF!,0))*AA385,0))</f>
        <v>0</v>
      </c>
      <c r="AC385" s="7"/>
      <c r="AD385" s="74"/>
      <c r="AE385" s="101">
        <f>IF(OR(AC385="",AD385=""),0,IFERROR(INDEX(#REF!,MATCH(AC385,#REF!,0))*AD385,0))</f>
        <v>0</v>
      </c>
      <c r="AF385" s="7"/>
      <c r="AG385" s="74"/>
      <c r="AH385" s="101">
        <f>IF(OR(AF385="",AG385=""),0,IFERROR(INDEX(#REF!,MATCH(AF385,#REF!,0))*AG385,0))</f>
        <v>0</v>
      </c>
      <c r="AI385" s="7"/>
      <c r="AJ385" s="74"/>
      <c r="AK385" s="101">
        <f>IF(OR(AI385="",AJ385=""),0,IFERROR(INDEX(#REF!,MATCH(AI385,#REF!,0))*AJ385,0))</f>
        <v>0</v>
      </c>
      <c r="AL385" s="101">
        <f t="shared" si="51"/>
        <v>0</v>
      </c>
      <c r="AM385" s="7"/>
      <c r="AN385" s="72"/>
      <c r="AO385" s="99">
        <f>IF(OR(AM385="",AN385=""),0,IFERROR(INDEX(#REF!,MATCH(AM385,#REF!,0))*AN385,0))</f>
        <v>0</v>
      </c>
      <c r="AP385" s="7"/>
      <c r="AQ385" s="74"/>
      <c r="AR385" s="99">
        <f>IF(OR(AP385="",AQ385=""),0,IFERROR(INDEX(#REF!,MATCH(AP385,#REF!,0))*AQ385,0))</f>
        <v>0</v>
      </c>
      <c r="AS385" s="7"/>
      <c r="AT385" s="74"/>
      <c r="AU385" s="99">
        <f>IF(OR(AS385="",AT385=""),0,IFERROR(INDEX(#REF!,MATCH(AS385,#REF!,0))*AT385,0))</f>
        <v>0</v>
      </c>
      <c r="AV385" s="7"/>
      <c r="AW385" s="74"/>
      <c r="AX385" s="99">
        <f>IF(OR(AV385="",AW385=""),0,IFERROR(INDEX(#REF!,MATCH(AV385,#REF!,0))*AW385,0))</f>
        <v>0</v>
      </c>
      <c r="AY385" s="7"/>
      <c r="AZ385" s="77"/>
      <c r="BA385" s="99">
        <f>IF(OR(AY385="",AZ385=""),0,IFERROR(INDEX(#REF!,MATCH(AY385,#REF!,0))*AZ385,0))</f>
        <v>0</v>
      </c>
      <c r="BB385" s="100">
        <f t="shared" si="52"/>
        <v>0</v>
      </c>
      <c r="BC385" s="110" t="str">
        <f t="shared" si="53"/>
        <v/>
      </c>
      <c r="BD385" s="62"/>
    </row>
    <row r="386" spans="1:56" ht="19.5" customHeight="1" x14ac:dyDescent="0.45">
      <c r="A386" s="104" t="str">
        <f t="shared" si="54"/>
        <v/>
      </c>
      <c r="B386" s="5"/>
      <c r="C386" s="109"/>
      <c r="D386" s="107"/>
      <c r="E386" s="6"/>
      <c r="F386" s="85"/>
      <c r="G386" s="85"/>
      <c r="H386" s="104" t="str">
        <f t="shared" si="46"/>
        <v/>
      </c>
      <c r="I386" s="103" t="str">
        <f>IFERROR(INDEX(#REF!,MATCH(E386,#REF!,0)),"")</f>
        <v/>
      </c>
      <c r="J386" s="6"/>
      <c r="K386" s="103" t="str">
        <f t="shared" si="47"/>
        <v/>
      </c>
      <c r="L386" s="8"/>
      <c r="M386" s="102" t="str">
        <f t="shared" si="48"/>
        <v/>
      </c>
      <c r="N386" s="9"/>
      <c r="O386" s="103" t="str">
        <f t="shared" si="49"/>
        <v/>
      </c>
      <c r="P386" s="6"/>
      <c r="Q386" s="7"/>
      <c r="R386" s="10"/>
      <c r="S386" s="29" t="str">
        <f t="shared" ca="1" si="50"/>
        <v/>
      </c>
      <c r="T386" s="7"/>
      <c r="U386" s="74"/>
      <c r="V386" s="101">
        <f>IF(OR(T386="",U386=""),0,IFERROR(INDEX(#REF!,MATCH(T386,#REF!,0))*U386,0))</f>
        <v>0</v>
      </c>
      <c r="W386" s="7"/>
      <c r="X386" s="74"/>
      <c r="Y386" s="101">
        <f>IF(OR(W386="",X386=""),0,IFERROR(INDEX(#REF!,MATCH(W386,#REF!,0))*X386,0))</f>
        <v>0</v>
      </c>
      <c r="Z386" s="7"/>
      <c r="AA386" s="74"/>
      <c r="AB386" s="101">
        <f>IF(OR(Z386="",AA386=""),0,IFERROR(INDEX(#REF!,MATCH(Z386,#REF!,0))*AA386,0))</f>
        <v>0</v>
      </c>
      <c r="AC386" s="7"/>
      <c r="AD386" s="74"/>
      <c r="AE386" s="101">
        <f>IF(OR(AC386="",AD386=""),0,IFERROR(INDEX(#REF!,MATCH(AC386,#REF!,0))*AD386,0))</f>
        <v>0</v>
      </c>
      <c r="AF386" s="7"/>
      <c r="AG386" s="74"/>
      <c r="AH386" s="101">
        <f>IF(OR(AF386="",AG386=""),0,IFERROR(INDEX(#REF!,MATCH(AF386,#REF!,0))*AG386,0))</f>
        <v>0</v>
      </c>
      <c r="AI386" s="7"/>
      <c r="AJ386" s="74"/>
      <c r="AK386" s="101">
        <f>IF(OR(AI386="",AJ386=""),0,IFERROR(INDEX(#REF!,MATCH(AI386,#REF!,0))*AJ386,0))</f>
        <v>0</v>
      </c>
      <c r="AL386" s="101">
        <f t="shared" si="51"/>
        <v>0</v>
      </c>
      <c r="AM386" s="7"/>
      <c r="AN386" s="72"/>
      <c r="AO386" s="99">
        <f>IF(OR(AM386="",AN386=""),0,IFERROR(INDEX(#REF!,MATCH(AM386,#REF!,0))*AN386,0))</f>
        <v>0</v>
      </c>
      <c r="AP386" s="7"/>
      <c r="AQ386" s="74"/>
      <c r="AR386" s="99">
        <f>IF(OR(AP386="",AQ386=""),0,IFERROR(INDEX(#REF!,MATCH(AP386,#REF!,0))*AQ386,0))</f>
        <v>0</v>
      </c>
      <c r="AS386" s="7"/>
      <c r="AT386" s="74"/>
      <c r="AU386" s="99">
        <f>IF(OR(AS386="",AT386=""),0,IFERROR(INDEX(#REF!,MATCH(AS386,#REF!,0))*AT386,0))</f>
        <v>0</v>
      </c>
      <c r="AV386" s="7"/>
      <c r="AW386" s="74"/>
      <c r="AX386" s="99">
        <f>IF(OR(AV386="",AW386=""),0,IFERROR(INDEX(#REF!,MATCH(AV386,#REF!,0))*AW386,0))</f>
        <v>0</v>
      </c>
      <c r="AY386" s="7"/>
      <c r="AZ386" s="77"/>
      <c r="BA386" s="99">
        <f>IF(OR(AY386="",AZ386=""),0,IFERROR(INDEX(#REF!,MATCH(AY386,#REF!,0))*AZ386,0))</f>
        <v>0</v>
      </c>
      <c r="BB386" s="100">
        <f t="shared" si="52"/>
        <v>0</v>
      </c>
      <c r="BC386" s="110" t="str">
        <f t="shared" si="53"/>
        <v/>
      </c>
      <c r="BD386" s="62"/>
    </row>
    <row r="387" spans="1:56" ht="19.5" customHeight="1" x14ac:dyDescent="0.45">
      <c r="A387" s="104" t="str">
        <f t="shared" si="54"/>
        <v/>
      </c>
      <c r="B387" s="5"/>
      <c r="C387" s="109"/>
      <c r="D387" s="107"/>
      <c r="E387" s="6"/>
      <c r="F387" s="85"/>
      <c r="G387" s="85"/>
      <c r="H387" s="104" t="str">
        <f t="shared" si="46"/>
        <v/>
      </c>
      <c r="I387" s="103" t="str">
        <f>IFERROR(INDEX(#REF!,MATCH(E387,#REF!,0)),"")</f>
        <v/>
      </c>
      <c r="J387" s="6"/>
      <c r="K387" s="103" t="str">
        <f t="shared" si="47"/>
        <v/>
      </c>
      <c r="L387" s="8"/>
      <c r="M387" s="102" t="str">
        <f t="shared" si="48"/>
        <v/>
      </c>
      <c r="N387" s="9"/>
      <c r="O387" s="103" t="str">
        <f t="shared" si="49"/>
        <v/>
      </c>
      <c r="P387" s="6"/>
      <c r="Q387" s="7"/>
      <c r="R387" s="10"/>
      <c r="S387" s="29" t="str">
        <f t="shared" ca="1" si="50"/>
        <v/>
      </c>
      <c r="T387" s="7"/>
      <c r="U387" s="74"/>
      <c r="V387" s="101">
        <f>IF(OR(T387="",U387=""),0,IFERROR(INDEX(#REF!,MATCH(T387,#REF!,0))*U387,0))</f>
        <v>0</v>
      </c>
      <c r="W387" s="7"/>
      <c r="X387" s="74"/>
      <c r="Y387" s="101">
        <f>IF(OR(W387="",X387=""),0,IFERROR(INDEX(#REF!,MATCH(W387,#REF!,0))*X387,0))</f>
        <v>0</v>
      </c>
      <c r="Z387" s="7"/>
      <c r="AA387" s="74"/>
      <c r="AB387" s="101">
        <f>IF(OR(Z387="",AA387=""),0,IFERROR(INDEX(#REF!,MATCH(Z387,#REF!,0))*AA387,0))</f>
        <v>0</v>
      </c>
      <c r="AC387" s="7"/>
      <c r="AD387" s="74"/>
      <c r="AE387" s="101">
        <f>IF(OR(AC387="",AD387=""),0,IFERROR(INDEX(#REF!,MATCH(AC387,#REF!,0))*AD387,0))</f>
        <v>0</v>
      </c>
      <c r="AF387" s="7"/>
      <c r="AG387" s="74"/>
      <c r="AH387" s="101">
        <f>IF(OR(AF387="",AG387=""),0,IFERROR(INDEX(#REF!,MATCH(AF387,#REF!,0))*AG387,0))</f>
        <v>0</v>
      </c>
      <c r="AI387" s="7"/>
      <c r="AJ387" s="74"/>
      <c r="AK387" s="101">
        <f>IF(OR(AI387="",AJ387=""),0,IFERROR(INDEX(#REF!,MATCH(AI387,#REF!,0))*AJ387,0))</f>
        <v>0</v>
      </c>
      <c r="AL387" s="101">
        <f t="shared" si="51"/>
        <v>0</v>
      </c>
      <c r="AM387" s="7"/>
      <c r="AN387" s="72"/>
      <c r="AO387" s="99">
        <f>IF(OR(AM387="",AN387=""),0,IFERROR(INDEX(#REF!,MATCH(AM387,#REF!,0))*AN387,0))</f>
        <v>0</v>
      </c>
      <c r="AP387" s="7"/>
      <c r="AQ387" s="74"/>
      <c r="AR387" s="99">
        <f>IF(OR(AP387="",AQ387=""),0,IFERROR(INDEX(#REF!,MATCH(AP387,#REF!,0))*AQ387,0))</f>
        <v>0</v>
      </c>
      <c r="AS387" s="7"/>
      <c r="AT387" s="74"/>
      <c r="AU387" s="99">
        <f>IF(OR(AS387="",AT387=""),0,IFERROR(INDEX(#REF!,MATCH(AS387,#REF!,0))*AT387,0))</f>
        <v>0</v>
      </c>
      <c r="AV387" s="7"/>
      <c r="AW387" s="74"/>
      <c r="AX387" s="99">
        <f>IF(OR(AV387="",AW387=""),0,IFERROR(INDEX(#REF!,MATCH(AV387,#REF!,0))*AW387,0))</f>
        <v>0</v>
      </c>
      <c r="AY387" s="7"/>
      <c r="AZ387" s="77"/>
      <c r="BA387" s="99">
        <f>IF(OR(AY387="",AZ387=""),0,IFERROR(INDEX(#REF!,MATCH(AY387,#REF!,0))*AZ387,0))</f>
        <v>0</v>
      </c>
      <c r="BB387" s="100">
        <f t="shared" si="52"/>
        <v>0</v>
      </c>
      <c r="BC387" s="110" t="str">
        <f t="shared" si="53"/>
        <v/>
      </c>
      <c r="BD387" s="62"/>
    </row>
    <row r="388" spans="1:56" ht="19.5" customHeight="1" x14ac:dyDescent="0.45">
      <c r="A388" s="104" t="str">
        <f t="shared" si="54"/>
        <v/>
      </c>
      <c r="B388" s="5"/>
      <c r="C388" s="109"/>
      <c r="D388" s="107"/>
      <c r="E388" s="6"/>
      <c r="F388" s="85"/>
      <c r="G388" s="85"/>
      <c r="H388" s="104" t="str">
        <f t="shared" si="46"/>
        <v/>
      </c>
      <c r="I388" s="103" t="str">
        <f>IFERROR(INDEX(#REF!,MATCH(E388,#REF!,0)),"")</f>
        <v/>
      </c>
      <c r="J388" s="6"/>
      <c r="K388" s="103" t="str">
        <f t="shared" si="47"/>
        <v/>
      </c>
      <c r="L388" s="8"/>
      <c r="M388" s="102" t="str">
        <f t="shared" si="48"/>
        <v/>
      </c>
      <c r="N388" s="9"/>
      <c r="O388" s="103" t="str">
        <f t="shared" si="49"/>
        <v/>
      </c>
      <c r="P388" s="6"/>
      <c r="Q388" s="7"/>
      <c r="R388" s="10"/>
      <c r="S388" s="29" t="str">
        <f t="shared" ca="1" si="50"/>
        <v/>
      </c>
      <c r="T388" s="7"/>
      <c r="U388" s="74"/>
      <c r="V388" s="101">
        <f>IF(OR(T388="",U388=""),0,IFERROR(INDEX(#REF!,MATCH(T388,#REF!,0))*U388,0))</f>
        <v>0</v>
      </c>
      <c r="W388" s="7"/>
      <c r="X388" s="74"/>
      <c r="Y388" s="101">
        <f>IF(OR(W388="",X388=""),0,IFERROR(INDEX(#REF!,MATCH(W388,#REF!,0))*X388,0))</f>
        <v>0</v>
      </c>
      <c r="Z388" s="7"/>
      <c r="AA388" s="74"/>
      <c r="AB388" s="101">
        <f>IF(OR(Z388="",AA388=""),0,IFERROR(INDEX(#REF!,MATCH(Z388,#REF!,0))*AA388,0))</f>
        <v>0</v>
      </c>
      <c r="AC388" s="7"/>
      <c r="AD388" s="74"/>
      <c r="AE388" s="101">
        <f>IF(OR(AC388="",AD388=""),0,IFERROR(INDEX(#REF!,MATCH(AC388,#REF!,0))*AD388,0))</f>
        <v>0</v>
      </c>
      <c r="AF388" s="7"/>
      <c r="AG388" s="74"/>
      <c r="AH388" s="101">
        <f>IF(OR(AF388="",AG388=""),0,IFERROR(INDEX(#REF!,MATCH(AF388,#REF!,0))*AG388,0))</f>
        <v>0</v>
      </c>
      <c r="AI388" s="7"/>
      <c r="AJ388" s="74"/>
      <c r="AK388" s="101">
        <f>IF(OR(AI388="",AJ388=""),0,IFERROR(INDEX(#REF!,MATCH(AI388,#REF!,0))*AJ388,0))</f>
        <v>0</v>
      </c>
      <c r="AL388" s="101">
        <f t="shared" si="51"/>
        <v>0</v>
      </c>
      <c r="AM388" s="7"/>
      <c r="AN388" s="72"/>
      <c r="AO388" s="99">
        <f>IF(OR(AM388="",AN388=""),0,IFERROR(INDEX(#REF!,MATCH(AM388,#REF!,0))*AN388,0))</f>
        <v>0</v>
      </c>
      <c r="AP388" s="7"/>
      <c r="AQ388" s="74"/>
      <c r="AR388" s="99">
        <f>IF(OR(AP388="",AQ388=""),0,IFERROR(INDEX(#REF!,MATCH(AP388,#REF!,0))*AQ388,0))</f>
        <v>0</v>
      </c>
      <c r="AS388" s="7"/>
      <c r="AT388" s="74"/>
      <c r="AU388" s="99">
        <f>IF(OR(AS388="",AT388=""),0,IFERROR(INDEX(#REF!,MATCH(AS388,#REF!,0))*AT388,0))</f>
        <v>0</v>
      </c>
      <c r="AV388" s="7"/>
      <c r="AW388" s="74"/>
      <c r="AX388" s="99">
        <f>IF(OR(AV388="",AW388=""),0,IFERROR(INDEX(#REF!,MATCH(AV388,#REF!,0))*AW388,0))</f>
        <v>0</v>
      </c>
      <c r="AY388" s="7"/>
      <c r="AZ388" s="77"/>
      <c r="BA388" s="99">
        <f>IF(OR(AY388="",AZ388=""),0,IFERROR(INDEX(#REF!,MATCH(AY388,#REF!,0))*AZ388,0))</f>
        <v>0</v>
      </c>
      <c r="BB388" s="100">
        <f t="shared" si="52"/>
        <v>0</v>
      </c>
      <c r="BC388" s="110" t="str">
        <f t="shared" si="53"/>
        <v/>
      </c>
      <c r="BD388" s="62"/>
    </row>
    <row r="389" spans="1:56" ht="19.5" customHeight="1" x14ac:dyDescent="0.45">
      <c r="A389" s="104" t="str">
        <f t="shared" si="54"/>
        <v/>
      </c>
      <c r="B389" s="5"/>
      <c r="C389" s="109"/>
      <c r="D389" s="107"/>
      <c r="E389" s="6"/>
      <c r="F389" s="85"/>
      <c r="G389" s="85"/>
      <c r="H389" s="104" t="str">
        <f t="shared" ref="H389:H452" si="55">IF(AND(F389&lt;&gt;"",G389&lt;&gt;""),G389-F389,"")</f>
        <v/>
      </c>
      <c r="I389" s="103" t="str">
        <f>IFERROR(INDEX(#REF!,MATCH(E389,#REF!,0)),"")</f>
        <v/>
      </c>
      <c r="J389" s="6"/>
      <c r="K389" s="103" t="str">
        <f t="shared" ref="K389:K452" si="56">IF(AND(ISNUMBER(H389),ISNUMBER(I389)),H389*I389,"")</f>
        <v/>
      </c>
      <c r="L389" s="8"/>
      <c r="M389" s="102" t="str">
        <f t="shared" ref="M389:M452" si="57">IF(ISNUMBER(K389),K389*(1-L389),"")</f>
        <v/>
      </c>
      <c r="N389" s="9"/>
      <c r="O389" s="103" t="str">
        <f t="shared" ref="O389:O452" si="58">IF(ISNUMBER(M389),M389-N389,"")</f>
        <v/>
      </c>
      <c r="P389" s="6"/>
      <c r="Q389" s="7"/>
      <c r="R389" s="10"/>
      <c r="S389" s="29" t="str">
        <f t="shared" ca="1" si="50"/>
        <v/>
      </c>
      <c r="T389" s="7"/>
      <c r="U389" s="74"/>
      <c r="V389" s="101">
        <f>IF(OR(T389="",U389=""),0,IFERROR(INDEX(#REF!,MATCH(T389,#REF!,0))*U389,0))</f>
        <v>0</v>
      </c>
      <c r="W389" s="7"/>
      <c r="X389" s="74"/>
      <c r="Y389" s="101">
        <f>IF(OR(W389="",X389=""),0,IFERROR(INDEX(#REF!,MATCH(W389,#REF!,0))*X389,0))</f>
        <v>0</v>
      </c>
      <c r="Z389" s="7"/>
      <c r="AA389" s="74"/>
      <c r="AB389" s="101">
        <f>IF(OR(Z389="",AA389=""),0,IFERROR(INDEX(#REF!,MATCH(Z389,#REF!,0))*AA389,0))</f>
        <v>0</v>
      </c>
      <c r="AC389" s="7"/>
      <c r="AD389" s="74"/>
      <c r="AE389" s="101">
        <f>IF(OR(AC389="",AD389=""),0,IFERROR(INDEX(#REF!,MATCH(AC389,#REF!,0))*AD389,0))</f>
        <v>0</v>
      </c>
      <c r="AF389" s="7"/>
      <c r="AG389" s="74"/>
      <c r="AH389" s="101">
        <f>IF(OR(AF389="",AG389=""),0,IFERROR(INDEX(#REF!,MATCH(AF389,#REF!,0))*AG389,0))</f>
        <v>0</v>
      </c>
      <c r="AI389" s="7"/>
      <c r="AJ389" s="74"/>
      <c r="AK389" s="101">
        <f>IF(OR(AI389="",AJ389=""),0,IFERROR(INDEX(#REF!,MATCH(AI389,#REF!,0))*AJ389,0))</f>
        <v>0</v>
      </c>
      <c r="AL389" s="101">
        <f t="shared" si="51"/>
        <v>0</v>
      </c>
      <c r="AM389" s="7"/>
      <c r="AN389" s="72"/>
      <c r="AO389" s="99">
        <f>IF(OR(AM389="",AN389=""),0,IFERROR(INDEX(#REF!,MATCH(AM389,#REF!,0))*AN389,0))</f>
        <v>0</v>
      </c>
      <c r="AP389" s="7"/>
      <c r="AQ389" s="74"/>
      <c r="AR389" s="99">
        <f>IF(OR(AP389="",AQ389=""),0,IFERROR(INDEX(#REF!,MATCH(AP389,#REF!,0))*AQ389,0))</f>
        <v>0</v>
      </c>
      <c r="AS389" s="7"/>
      <c r="AT389" s="74"/>
      <c r="AU389" s="99">
        <f>IF(OR(AS389="",AT389=""),0,IFERROR(INDEX(#REF!,MATCH(AS389,#REF!,0))*AT389,0))</f>
        <v>0</v>
      </c>
      <c r="AV389" s="7"/>
      <c r="AW389" s="74"/>
      <c r="AX389" s="99">
        <f>IF(OR(AV389="",AW389=""),0,IFERROR(INDEX(#REF!,MATCH(AV389,#REF!,0))*AW389,0))</f>
        <v>0</v>
      </c>
      <c r="AY389" s="7"/>
      <c r="AZ389" s="77"/>
      <c r="BA389" s="99">
        <f>IF(OR(AY389="",AZ389=""),0,IFERROR(INDEX(#REF!,MATCH(AY389,#REF!,0))*AZ389,0))</f>
        <v>0</v>
      </c>
      <c r="BB389" s="100">
        <f t="shared" si="52"/>
        <v>0</v>
      </c>
      <c r="BC389" s="110" t="str">
        <f t="shared" si="53"/>
        <v/>
      </c>
      <c r="BD389" s="62"/>
    </row>
    <row r="390" spans="1:56" ht="19.5" customHeight="1" x14ac:dyDescent="0.45">
      <c r="A390" s="104" t="str">
        <f t="shared" si="54"/>
        <v/>
      </c>
      <c r="B390" s="5"/>
      <c r="C390" s="109"/>
      <c r="D390" s="107"/>
      <c r="E390" s="6"/>
      <c r="F390" s="85"/>
      <c r="G390" s="85"/>
      <c r="H390" s="104" t="str">
        <f t="shared" si="55"/>
        <v/>
      </c>
      <c r="I390" s="103" t="str">
        <f>IFERROR(INDEX(#REF!,MATCH(E390,#REF!,0)),"")</f>
        <v/>
      </c>
      <c r="J390" s="6"/>
      <c r="K390" s="103" t="str">
        <f t="shared" si="56"/>
        <v/>
      </c>
      <c r="L390" s="8"/>
      <c r="M390" s="102" t="str">
        <f t="shared" si="57"/>
        <v/>
      </c>
      <c r="N390" s="9"/>
      <c r="O390" s="103" t="str">
        <f t="shared" si="58"/>
        <v/>
      </c>
      <c r="P390" s="6"/>
      <c r="Q390" s="7"/>
      <c r="R390" s="10"/>
      <c r="S390" s="29" t="str">
        <f t="shared" ref="S390:S453" ca="1" si="59">IF(AND(B390&lt;&gt;"",F390&lt;&gt;"",F390&gt;=TODAY(),F390&lt;=TODAY()+180,P390&lt;&gt;"Cancelled"),F390+ROW()/100000,"")</f>
        <v/>
      </c>
      <c r="T390" s="7"/>
      <c r="U390" s="74"/>
      <c r="V390" s="101">
        <f>IF(OR(T390="",U390=""),0,IFERROR(INDEX(#REF!,MATCH(T390,#REF!,0))*U390,0))</f>
        <v>0</v>
      </c>
      <c r="W390" s="7"/>
      <c r="X390" s="74"/>
      <c r="Y390" s="101">
        <f>IF(OR(W390="",X390=""),0,IFERROR(INDEX(#REF!,MATCH(W390,#REF!,0))*X390,0))</f>
        <v>0</v>
      </c>
      <c r="Z390" s="7"/>
      <c r="AA390" s="74"/>
      <c r="AB390" s="101">
        <f>IF(OR(Z390="",AA390=""),0,IFERROR(INDEX(#REF!,MATCH(Z390,#REF!,0))*AA390,0))</f>
        <v>0</v>
      </c>
      <c r="AC390" s="7"/>
      <c r="AD390" s="74"/>
      <c r="AE390" s="101">
        <f>IF(OR(AC390="",AD390=""),0,IFERROR(INDEX(#REF!,MATCH(AC390,#REF!,0))*AD390,0))</f>
        <v>0</v>
      </c>
      <c r="AF390" s="7"/>
      <c r="AG390" s="74"/>
      <c r="AH390" s="101">
        <f>IF(OR(AF390="",AG390=""),0,IFERROR(INDEX(#REF!,MATCH(AF390,#REF!,0))*AG390,0))</f>
        <v>0</v>
      </c>
      <c r="AI390" s="7"/>
      <c r="AJ390" s="74"/>
      <c r="AK390" s="101">
        <f>IF(OR(AI390="",AJ390=""),0,IFERROR(INDEX(#REF!,MATCH(AI390,#REF!,0))*AJ390,0))</f>
        <v>0</v>
      </c>
      <c r="AL390" s="101">
        <f t="shared" ref="AL390:AL453" si="60">SUM(V390+Y390+AB390+AE390+AH390+AK390)</f>
        <v>0</v>
      </c>
      <c r="AM390" s="7"/>
      <c r="AN390" s="72"/>
      <c r="AO390" s="99">
        <f>IF(OR(AM390="",AN390=""),0,IFERROR(INDEX(#REF!,MATCH(AM390,#REF!,0))*AN390,0))</f>
        <v>0</v>
      </c>
      <c r="AP390" s="7"/>
      <c r="AQ390" s="74"/>
      <c r="AR390" s="99">
        <f>IF(OR(AP390="",AQ390=""),0,IFERROR(INDEX(#REF!,MATCH(AP390,#REF!,0))*AQ390,0))</f>
        <v>0</v>
      </c>
      <c r="AS390" s="7"/>
      <c r="AT390" s="74"/>
      <c r="AU390" s="99">
        <f>IF(OR(AS390="",AT390=""),0,IFERROR(INDEX(#REF!,MATCH(AS390,#REF!,0))*AT390,0))</f>
        <v>0</v>
      </c>
      <c r="AV390" s="7"/>
      <c r="AW390" s="74"/>
      <c r="AX390" s="99">
        <f>IF(OR(AV390="",AW390=""),0,IFERROR(INDEX(#REF!,MATCH(AV390,#REF!,0))*AW390,0))</f>
        <v>0</v>
      </c>
      <c r="AY390" s="7"/>
      <c r="AZ390" s="77"/>
      <c r="BA390" s="99">
        <f>IF(OR(AY390="",AZ390=""),0,IFERROR(INDEX(#REF!,MATCH(AY390,#REF!,0))*AZ390,0))</f>
        <v>0</v>
      </c>
      <c r="BB390" s="100">
        <f t="shared" ref="BB390:BB453" si="61">SUM(AO390+AR390+AU390+AX390+BA390)</f>
        <v>0</v>
      </c>
      <c r="BC390" s="110" t="str">
        <f t="shared" ref="BC390:BC453" si="62">IF(ISNUMBER(M390),M390+AL390+BB390,"")</f>
        <v/>
      </c>
      <c r="BD390" s="62"/>
    </row>
    <row r="391" spans="1:56" ht="19.5" customHeight="1" x14ac:dyDescent="0.45">
      <c r="A391" s="104" t="str">
        <f t="shared" si="54"/>
        <v/>
      </c>
      <c r="B391" s="5"/>
      <c r="C391" s="109"/>
      <c r="D391" s="107"/>
      <c r="E391" s="6"/>
      <c r="F391" s="85"/>
      <c r="G391" s="85"/>
      <c r="H391" s="104" t="str">
        <f t="shared" si="55"/>
        <v/>
      </c>
      <c r="I391" s="103" t="str">
        <f>IFERROR(INDEX(#REF!,MATCH(E391,#REF!,0)),"")</f>
        <v/>
      </c>
      <c r="J391" s="6"/>
      <c r="K391" s="103" t="str">
        <f t="shared" si="56"/>
        <v/>
      </c>
      <c r="L391" s="8"/>
      <c r="M391" s="102" t="str">
        <f t="shared" si="57"/>
        <v/>
      </c>
      <c r="N391" s="9"/>
      <c r="O391" s="103" t="str">
        <f t="shared" si="58"/>
        <v/>
      </c>
      <c r="P391" s="6"/>
      <c r="Q391" s="7"/>
      <c r="R391" s="10"/>
      <c r="S391" s="29" t="str">
        <f t="shared" ca="1" si="59"/>
        <v/>
      </c>
      <c r="T391" s="7"/>
      <c r="U391" s="74"/>
      <c r="V391" s="101">
        <f>IF(OR(T391="",U391=""),0,IFERROR(INDEX(#REF!,MATCH(T391,#REF!,0))*U391,0))</f>
        <v>0</v>
      </c>
      <c r="W391" s="7"/>
      <c r="X391" s="74"/>
      <c r="Y391" s="101">
        <f>IF(OR(W391="",X391=""),0,IFERROR(INDEX(#REF!,MATCH(W391,#REF!,0))*X391,0))</f>
        <v>0</v>
      </c>
      <c r="Z391" s="7"/>
      <c r="AA391" s="74"/>
      <c r="AB391" s="101">
        <f>IF(OR(Z391="",AA391=""),0,IFERROR(INDEX(#REF!,MATCH(Z391,#REF!,0))*AA391,0))</f>
        <v>0</v>
      </c>
      <c r="AC391" s="7"/>
      <c r="AD391" s="74"/>
      <c r="AE391" s="101">
        <f>IF(OR(AC391="",AD391=""),0,IFERROR(INDEX(#REF!,MATCH(AC391,#REF!,0))*AD391,0))</f>
        <v>0</v>
      </c>
      <c r="AF391" s="7"/>
      <c r="AG391" s="74"/>
      <c r="AH391" s="101">
        <f>IF(OR(AF391="",AG391=""),0,IFERROR(INDEX(#REF!,MATCH(AF391,#REF!,0))*AG391,0))</f>
        <v>0</v>
      </c>
      <c r="AI391" s="7"/>
      <c r="AJ391" s="74"/>
      <c r="AK391" s="101">
        <f>IF(OR(AI391="",AJ391=""),0,IFERROR(INDEX(#REF!,MATCH(AI391,#REF!,0))*AJ391,0))</f>
        <v>0</v>
      </c>
      <c r="AL391" s="101">
        <f t="shared" si="60"/>
        <v>0</v>
      </c>
      <c r="AM391" s="7"/>
      <c r="AN391" s="72"/>
      <c r="AO391" s="99">
        <f>IF(OR(AM391="",AN391=""),0,IFERROR(INDEX(#REF!,MATCH(AM391,#REF!,0))*AN391,0))</f>
        <v>0</v>
      </c>
      <c r="AP391" s="7"/>
      <c r="AQ391" s="74"/>
      <c r="AR391" s="99">
        <f>IF(OR(AP391="",AQ391=""),0,IFERROR(INDEX(#REF!,MATCH(AP391,#REF!,0))*AQ391,0))</f>
        <v>0</v>
      </c>
      <c r="AS391" s="7"/>
      <c r="AT391" s="74"/>
      <c r="AU391" s="99">
        <f>IF(OR(AS391="",AT391=""),0,IFERROR(INDEX(#REF!,MATCH(AS391,#REF!,0))*AT391,0))</f>
        <v>0</v>
      </c>
      <c r="AV391" s="7"/>
      <c r="AW391" s="74"/>
      <c r="AX391" s="99">
        <f>IF(OR(AV391="",AW391=""),0,IFERROR(INDEX(#REF!,MATCH(AV391,#REF!,0))*AW391,0))</f>
        <v>0</v>
      </c>
      <c r="AY391" s="7"/>
      <c r="AZ391" s="77"/>
      <c r="BA391" s="99">
        <f>IF(OR(AY391="",AZ391=""),0,IFERROR(INDEX(#REF!,MATCH(AY391,#REF!,0))*AZ391,0))</f>
        <v>0</v>
      </c>
      <c r="BB391" s="100">
        <f t="shared" si="61"/>
        <v>0</v>
      </c>
      <c r="BC391" s="110" t="str">
        <f t="shared" si="62"/>
        <v/>
      </c>
      <c r="BD391" s="62"/>
    </row>
    <row r="392" spans="1:56" ht="19.5" customHeight="1" x14ac:dyDescent="0.45">
      <c r="A392" s="104" t="str">
        <f t="shared" si="54"/>
        <v/>
      </c>
      <c r="B392" s="5"/>
      <c r="C392" s="109"/>
      <c r="D392" s="107"/>
      <c r="E392" s="6"/>
      <c r="F392" s="85"/>
      <c r="G392" s="85"/>
      <c r="H392" s="104" t="str">
        <f t="shared" si="55"/>
        <v/>
      </c>
      <c r="I392" s="103" t="str">
        <f>IFERROR(INDEX(#REF!,MATCH(E392,#REF!,0)),"")</f>
        <v/>
      </c>
      <c r="J392" s="6"/>
      <c r="K392" s="103" t="str">
        <f t="shared" si="56"/>
        <v/>
      </c>
      <c r="L392" s="8"/>
      <c r="M392" s="102" t="str">
        <f t="shared" si="57"/>
        <v/>
      </c>
      <c r="N392" s="9"/>
      <c r="O392" s="103" t="str">
        <f t="shared" si="58"/>
        <v/>
      </c>
      <c r="P392" s="6"/>
      <c r="Q392" s="7"/>
      <c r="R392" s="10"/>
      <c r="S392" s="29" t="str">
        <f t="shared" ca="1" si="59"/>
        <v/>
      </c>
      <c r="T392" s="7"/>
      <c r="U392" s="74"/>
      <c r="V392" s="101">
        <f>IF(OR(T392="",U392=""),0,IFERROR(INDEX(#REF!,MATCH(T392,#REF!,0))*U392,0))</f>
        <v>0</v>
      </c>
      <c r="W392" s="7"/>
      <c r="X392" s="74"/>
      <c r="Y392" s="101">
        <f>IF(OR(W392="",X392=""),0,IFERROR(INDEX(#REF!,MATCH(W392,#REF!,0))*X392,0))</f>
        <v>0</v>
      </c>
      <c r="Z392" s="7"/>
      <c r="AA392" s="74"/>
      <c r="AB392" s="101">
        <f>IF(OR(Z392="",AA392=""),0,IFERROR(INDEX(#REF!,MATCH(Z392,#REF!,0))*AA392,0))</f>
        <v>0</v>
      </c>
      <c r="AC392" s="7"/>
      <c r="AD392" s="74"/>
      <c r="AE392" s="101">
        <f>IF(OR(AC392="",AD392=""),0,IFERROR(INDEX(#REF!,MATCH(AC392,#REF!,0))*AD392,0))</f>
        <v>0</v>
      </c>
      <c r="AF392" s="7"/>
      <c r="AG392" s="74"/>
      <c r="AH392" s="101">
        <f>IF(OR(AF392="",AG392=""),0,IFERROR(INDEX(#REF!,MATCH(AF392,#REF!,0))*AG392,0))</f>
        <v>0</v>
      </c>
      <c r="AI392" s="7"/>
      <c r="AJ392" s="74"/>
      <c r="AK392" s="101">
        <f>IF(OR(AI392="",AJ392=""),0,IFERROR(INDEX(#REF!,MATCH(AI392,#REF!,0))*AJ392,0))</f>
        <v>0</v>
      </c>
      <c r="AL392" s="101">
        <f t="shared" si="60"/>
        <v>0</v>
      </c>
      <c r="AM392" s="7"/>
      <c r="AN392" s="72"/>
      <c r="AO392" s="99">
        <f>IF(OR(AM392="",AN392=""),0,IFERROR(INDEX(#REF!,MATCH(AM392,#REF!,0))*AN392,0))</f>
        <v>0</v>
      </c>
      <c r="AP392" s="7"/>
      <c r="AQ392" s="74"/>
      <c r="AR392" s="99">
        <f>IF(OR(AP392="",AQ392=""),0,IFERROR(INDEX(#REF!,MATCH(AP392,#REF!,0))*AQ392,0))</f>
        <v>0</v>
      </c>
      <c r="AS392" s="7"/>
      <c r="AT392" s="74"/>
      <c r="AU392" s="99">
        <f>IF(OR(AS392="",AT392=""),0,IFERROR(INDEX(#REF!,MATCH(AS392,#REF!,0))*AT392,0))</f>
        <v>0</v>
      </c>
      <c r="AV392" s="7"/>
      <c r="AW392" s="74"/>
      <c r="AX392" s="99">
        <f>IF(OR(AV392="",AW392=""),0,IFERROR(INDEX(#REF!,MATCH(AV392,#REF!,0))*AW392,0))</f>
        <v>0</v>
      </c>
      <c r="AY392" s="7"/>
      <c r="AZ392" s="77"/>
      <c r="BA392" s="99">
        <f>IF(OR(AY392="",AZ392=""),0,IFERROR(INDEX(#REF!,MATCH(AY392,#REF!,0))*AZ392,0))</f>
        <v>0</v>
      </c>
      <c r="BB392" s="100">
        <f t="shared" si="61"/>
        <v>0</v>
      </c>
      <c r="BC392" s="110" t="str">
        <f t="shared" si="62"/>
        <v/>
      </c>
      <c r="BD392" s="62"/>
    </row>
    <row r="393" spans="1:56" ht="19.5" customHeight="1" x14ac:dyDescent="0.45">
      <c r="A393" s="104" t="str">
        <f t="shared" si="54"/>
        <v/>
      </c>
      <c r="B393" s="5"/>
      <c r="C393" s="109"/>
      <c r="D393" s="107"/>
      <c r="E393" s="6"/>
      <c r="F393" s="85"/>
      <c r="G393" s="85"/>
      <c r="H393" s="104" t="str">
        <f t="shared" si="55"/>
        <v/>
      </c>
      <c r="I393" s="103" t="str">
        <f>IFERROR(INDEX(#REF!,MATCH(E393,#REF!,0)),"")</f>
        <v/>
      </c>
      <c r="J393" s="6"/>
      <c r="K393" s="103" t="str">
        <f t="shared" si="56"/>
        <v/>
      </c>
      <c r="L393" s="8"/>
      <c r="M393" s="102" t="str">
        <f t="shared" si="57"/>
        <v/>
      </c>
      <c r="N393" s="9"/>
      <c r="O393" s="103" t="str">
        <f t="shared" si="58"/>
        <v/>
      </c>
      <c r="P393" s="6"/>
      <c r="Q393" s="7"/>
      <c r="R393" s="10"/>
      <c r="S393" s="29" t="str">
        <f t="shared" ca="1" si="59"/>
        <v/>
      </c>
      <c r="T393" s="7"/>
      <c r="U393" s="74"/>
      <c r="V393" s="101">
        <f>IF(OR(T393="",U393=""),0,IFERROR(INDEX(#REF!,MATCH(T393,#REF!,0))*U393,0))</f>
        <v>0</v>
      </c>
      <c r="W393" s="7"/>
      <c r="X393" s="74"/>
      <c r="Y393" s="101">
        <f>IF(OR(W393="",X393=""),0,IFERROR(INDEX(#REF!,MATCH(W393,#REF!,0))*X393,0))</f>
        <v>0</v>
      </c>
      <c r="Z393" s="7"/>
      <c r="AA393" s="74"/>
      <c r="AB393" s="101">
        <f>IF(OR(Z393="",AA393=""),0,IFERROR(INDEX(#REF!,MATCH(Z393,#REF!,0))*AA393,0))</f>
        <v>0</v>
      </c>
      <c r="AC393" s="7"/>
      <c r="AD393" s="74"/>
      <c r="AE393" s="101">
        <f>IF(OR(AC393="",AD393=""),0,IFERROR(INDEX(#REF!,MATCH(AC393,#REF!,0))*AD393,0))</f>
        <v>0</v>
      </c>
      <c r="AF393" s="7"/>
      <c r="AG393" s="74"/>
      <c r="AH393" s="101">
        <f>IF(OR(AF393="",AG393=""),0,IFERROR(INDEX(#REF!,MATCH(AF393,#REF!,0))*AG393,0))</f>
        <v>0</v>
      </c>
      <c r="AI393" s="7"/>
      <c r="AJ393" s="74"/>
      <c r="AK393" s="101">
        <f>IF(OR(AI393="",AJ393=""),0,IFERROR(INDEX(#REF!,MATCH(AI393,#REF!,0))*AJ393,0))</f>
        <v>0</v>
      </c>
      <c r="AL393" s="101">
        <f t="shared" si="60"/>
        <v>0</v>
      </c>
      <c r="AM393" s="7"/>
      <c r="AN393" s="72"/>
      <c r="AO393" s="99">
        <f>IF(OR(AM393="",AN393=""),0,IFERROR(INDEX(#REF!,MATCH(AM393,#REF!,0))*AN393,0))</f>
        <v>0</v>
      </c>
      <c r="AP393" s="7"/>
      <c r="AQ393" s="74"/>
      <c r="AR393" s="99">
        <f>IF(OR(AP393="",AQ393=""),0,IFERROR(INDEX(#REF!,MATCH(AP393,#REF!,0))*AQ393,0))</f>
        <v>0</v>
      </c>
      <c r="AS393" s="7"/>
      <c r="AT393" s="74"/>
      <c r="AU393" s="99">
        <f>IF(OR(AS393="",AT393=""),0,IFERROR(INDEX(#REF!,MATCH(AS393,#REF!,0))*AT393,0))</f>
        <v>0</v>
      </c>
      <c r="AV393" s="7"/>
      <c r="AW393" s="74"/>
      <c r="AX393" s="99">
        <f>IF(OR(AV393="",AW393=""),0,IFERROR(INDEX(#REF!,MATCH(AV393,#REF!,0))*AW393,0))</f>
        <v>0</v>
      </c>
      <c r="AY393" s="7"/>
      <c r="AZ393" s="77"/>
      <c r="BA393" s="99">
        <f>IF(OR(AY393="",AZ393=""),0,IFERROR(INDEX(#REF!,MATCH(AY393,#REF!,0))*AZ393,0))</f>
        <v>0</v>
      </c>
      <c r="BB393" s="100">
        <f t="shared" si="61"/>
        <v>0</v>
      </c>
      <c r="BC393" s="110" t="str">
        <f t="shared" si="62"/>
        <v/>
      </c>
      <c r="BD393" s="62"/>
    </row>
    <row r="394" spans="1:56" ht="19.5" customHeight="1" x14ac:dyDescent="0.45">
      <c r="A394" s="104" t="str">
        <f t="shared" si="54"/>
        <v/>
      </c>
      <c r="B394" s="5"/>
      <c r="C394" s="109"/>
      <c r="D394" s="107"/>
      <c r="E394" s="6"/>
      <c r="F394" s="85"/>
      <c r="G394" s="85"/>
      <c r="H394" s="104" t="str">
        <f t="shared" si="55"/>
        <v/>
      </c>
      <c r="I394" s="103" t="str">
        <f>IFERROR(INDEX(#REF!,MATCH(E394,#REF!,0)),"")</f>
        <v/>
      </c>
      <c r="J394" s="6"/>
      <c r="K394" s="103" t="str">
        <f t="shared" si="56"/>
        <v/>
      </c>
      <c r="L394" s="8"/>
      <c r="M394" s="102" t="str">
        <f t="shared" si="57"/>
        <v/>
      </c>
      <c r="N394" s="9"/>
      <c r="O394" s="103" t="str">
        <f t="shared" si="58"/>
        <v/>
      </c>
      <c r="P394" s="6"/>
      <c r="Q394" s="7"/>
      <c r="R394" s="10"/>
      <c r="S394" s="29" t="str">
        <f t="shared" ca="1" si="59"/>
        <v/>
      </c>
      <c r="T394" s="7"/>
      <c r="U394" s="74"/>
      <c r="V394" s="101">
        <f>IF(OR(T394="",U394=""),0,IFERROR(INDEX(#REF!,MATCH(T394,#REF!,0))*U394,0))</f>
        <v>0</v>
      </c>
      <c r="W394" s="7"/>
      <c r="X394" s="74"/>
      <c r="Y394" s="101">
        <f>IF(OR(W394="",X394=""),0,IFERROR(INDEX(#REF!,MATCH(W394,#REF!,0))*X394,0))</f>
        <v>0</v>
      </c>
      <c r="Z394" s="7"/>
      <c r="AA394" s="74"/>
      <c r="AB394" s="101">
        <f>IF(OR(Z394="",AA394=""),0,IFERROR(INDEX(#REF!,MATCH(Z394,#REF!,0))*AA394,0))</f>
        <v>0</v>
      </c>
      <c r="AC394" s="7"/>
      <c r="AD394" s="74"/>
      <c r="AE394" s="101">
        <f>IF(OR(AC394="",AD394=""),0,IFERROR(INDEX(#REF!,MATCH(AC394,#REF!,0))*AD394,0))</f>
        <v>0</v>
      </c>
      <c r="AF394" s="7"/>
      <c r="AG394" s="74"/>
      <c r="AH394" s="101">
        <f>IF(OR(AF394="",AG394=""),0,IFERROR(INDEX(#REF!,MATCH(AF394,#REF!,0))*AG394,0))</f>
        <v>0</v>
      </c>
      <c r="AI394" s="7"/>
      <c r="AJ394" s="74"/>
      <c r="AK394" s="101">
        <f>IF(OR(AI394="",AJ394=""),0,IFERROR(INDEX(#REF!,MATCH(AI394,#REF!,0))*AJ394,0))</f>
        <v>0</v>
      </c>
      <c r="AL394" s="101">
        <f t="shared" si="60"/>
        <v>0</v>
      </c>
      <c r="AM394" s="7"/>
      <c r="AN394" s="72"/>
      <c r="AO394" s="99">
        <f>IF(OR(AM394="",AN394=""),0,IFERROR(INDEX(#REF!,MATCH(AM394,#REF!,0))*AN394,0))</f>
        <v>0</v>
      </c>
      <c r="AP394" s="7"/>
      <c r="AQ394" s="74"/>
      <c r="AR394" s="99">
        <f>IF(OR(AP394="",AQ394=""),0,IFERROR(INDEX(#REF!,MATCH(AP394,#REF!,0))*AQ394,0))</f>
        <v>0</v>
      </c>
      <c r="AS394" s="7"/>
      <c r="AT394" s="74"/>
      <c r="AU394" s="99">
        <f>IF(OR(AS394="",AT394=""),0,IFERROR(INDEX(#REF!,MATCH(AS394,#REF!,0))*AT394,0))</f>
        <v>0</v>
      </c>
      <c r="AV394" s="7"/>
      <c r="AW394" s="74"/>
      <c r="AX394" s="99">
        <f>IF(OR(AV394="",AW394=""),0,IFERROR(INDEX(#REF!,MATCH(AV394,#REF!,0))*AW394,0))</f>
        <v>0</v>
      </c>
      <c r="AY394" s="7"/>
      <c r="AZ394" s="77"/>
      <c r="BA394" s="99">
        <f>IF(OR(AY394="",AZ394=""),0,IFERROR(INDEX(#REF!,MATCH(AY394,#REF!,0))*AZ394,0))</f>
        <v>0</v>
      </c>
      <c r="BB394" s="100">
        <f t="shared" si="61"/>
        <v>0</v>
      </c>
      <c r="BC394" s="110" t="str">
        <f t="shared" si="62"/>
        <v/>
      </c>
      <c r="BD394" s="62"/>
    </row>
    <row r="395" spans="1:56" ht="19.5" customHeight="1" x14ac:dyDescent="0.45">
      <c r="A395" s="104" t="str">
        <f t="shared" si="54"/>
        <v/>
      </c>
      <c r="B395" s="5"/>
      <c r="C395" s="109"/>
      <c r="D395" s="107"/>
      <c r="E395" s="6"/>
      <c r="F395" s="85"/>
      <c r="G395" s="85"/>
      <c r="H395" s="104" t="str">
        <f t="shared" si="55"/>
        <v/>
      </c>
      <c r="I395" s="103" t="str">
        <f>IFERROR(INDEX(#REF!,MATCH(E395,#REF!,0)),"")</f>
        <v/>
      </c>
      <c r="J395" s="6"/>
      <c r="K395" s="103" t="str">
        <f t="shared" si="56"/>
        <v/>
      </c>
      <c r="L395" s="8"/>
      <c r="M395" s="102" t="str">
        <f t="shared" si="57"/>
        <v/>
      </c>
      <c r="N395" s="9"/>
      <c r="O395" s="103" t="str">
        <f t="shared" si="58"/>
        <v/>
      </c>
      <c r="P395" s="6"/>
      <c r="Q395" s="7"/>
      <c r="R395" s="10"/>
      <c r="S395" s="29" t="str">
        <f t="shared" ca="1" si="59"/>
        <v/>
      </c>
      <c r="T395" s="7"/>
      <c r="U395" s="74"/>
      <c r="V395" s="101">
        <f>IF(OR(T395="",U395=""),0,IFERROR(INDEX(#REF!,MATCH(T395,#REF!,0))*U395,0))</f>
        <v>0</v>
      </c>
      <c r="W395" s="7"/>
      <c r="X395" s="74"/>
      <c r="Y395" s="101">
        <f>IF(OR(W395="",X395=""),0,IFERROR(INDEX(#REF!,MATCH(W395,#REF!,0))*X395,0))</f>
        <v>0</v>
      </c>
      <c r="Z395" s="7"/>
      <c r="AA395" s="74"/>
      <c r="AB395" s="101">
        <f>IF(OR(Z395="",AA395=""),0,IFERROR(INDEX(#REF!,MATCH(Z395,#REF!,0))*AA395,0))</f>
        <v>0</v>
      </c>
      <c r="AC395" s="7"/>
      <c r="AD395" s="74"/>
      <c r="AE395" s="101">
        <f>IF(OR(AC395="",AD395=""),0,IFERROR(INDEX(#REF!,MATCH(AC395,#REF!,0))*AD395,0))</f>
        <v>0</v>
      </c>
      <c r="AF395" s="7"/>
      <c r="AG395" s="74"/>
      <c r="AH395" s="101">
        <f>IF(OR(AF395="",AG395=""),0,IFERROR(INDEX(#REF!,MATCH(AF395,#REF!,0))*AG395,0))</f>
        <v>0</v>
      </c>
      <c r="AI395" s="7"/>
      <c r="AJ395" s="74"/>
      <c r="AK395" s="101">
        <f>IF(OR(AI395="",AJ395=""),0,IFERROR(INDEX(#REF!,MATCH(AI395,#REF!,0))*AJ395,0))</f>
        <v>0</v>
      </c>
      <c r="AL395" s="101">
        <f t="shared" si="60"/>
        <v>0</v>
      </c>
      <c r="AM395" s="7"/>
      <c r="AN395" s="72"/>
      <c r="AO395" s="99">
        <f>IF(OR(AM395="",AN395=""),0,IFERROR(INDEX(#REF!,MATCH(AM395,#REF!,0))*AN395,0))</f>
        <v>0</v>
      </c>
      <c r="AP395" s="7"/>
      <c r="AQ395" s="74"/>
      <c r="AR395" s="99">
        <f>IF(OR(AP395="",AQ395=""),0,IFERROR(INDEX(#REF!,MATCH(AP395,#REF!,0))*AQ395,0))</f>
        <v>0</v>
      </c>
      <c r="AS395" s="7"/>
      <c r="AT395" s="74"/>
      <c r="AU395" s="99">
        <f>IF(OR(AS395="",AT395=""),0,IFERROR(INDEX(#REF!,MATCH(AS395,#REF!,0))*AT395,0))</f>
        <v>0</v>
      </c>
      <c r="AV395" s="7"/>
      <c r="AW395" s="74"/>
      <c r="AX395" s="99">
        <f>IF(OR(AV395="",AW395=""),0,IFERROR(INDEX(#REF!,MATCH(AV395,#REF!,0))*AW395,0))</f>
        <v>0</v>
      </c>
      <c r="AY395" s="7"/>
      <c r="AZ395" s="77"/>
      <c r="BA395" s="99">
        <f>IF(OR(AY395="",AZ395=""),0,IFERROR(INDEX(#REF!,MATCH(AY395,#REF!,0))*AZ395,0))</f>
        <v>0</v>
      </c>
      <c r="BB395" s="100">
        <f t="shared" si="61"/>
        <v>0</v>
      </c>
      <c r="BC395" s="110" t="str">
        <f t="shared" si="62"/>
        <v/>
      </c>
      <c r="BD395" s="62"/>
    </row>
    <row r="396" spans="1:56" ht="19.5" customHeight="1" x14ac:dyDescent="0.45">
      <c r="A396" s="104" t="str">
        <f t="shared" si="54"/>
        <v/>
      </c>
      <c r="B396" s="5"/>
      <c r="C396" s="109"/>
      <c r="D396" s="107"/>
      <c r="E396" s="6"/>
      <c r="F396" s="85"/>
      <c r="G396" s="85"/>
      <c r="H396" s="104" t="str">
        <f t="shared" si="55"/>
        <v/>
      </c>
      <c r="I396" s="103" t="str">
        <f>IFERROR(INDEX(#REF!,MATCH(E396,#REF!,0)),"")</f>
        <v/>
      </c>
      <c r="J396" s="6"/>
      <c r="K396" s="103" t="str">
        <f t="shared" si="56"/>
        <v/>
      </c>
      <c r="L396" s="8"/>
      <c r="M396" s="102" t="str">
        <f t="shared" si="57"/>
        <v/>
      </c>
      <c r="N396" s="9"/>
      <c r="O396" s="103" t="str">
        <f t="shared" si="58"/>
        <v/>
      </c>
      <c r="P396" s="6"/>
      <c r="Q396" s="7"/>
      <c r="R396" s="10"/>
      <c r="S396" s="29" t="str">
        <f t="shared" ca="1" si="59"/>
        <v/>
      </c>
      <c r="T396" s="7"/>
      <c r="U396" s="74"/>
      <c r="V396" s="101">
        <f>IF(OR(T396="",U396=""),0,IFERROR(INDEX(#REF!,MATCH(T396,#REF!,0))*U396,0))</f>
        <v>0</v>
      </c>
      <c r="W396" s="7"/>
      <c r="X396" s="74"/>
      <c r="Y396" s="101">
        <f>IF(OR(W396="",X396=""),0,IFERROR(INDEX(#REF!,MATCH(W396,#REF!,0))*X396,0))</f>
        <v>0</v>
      </c>
      <c r="Z396" s="7"/>
      <c r="AA396" s="74"/>
      <c r="AB396" s="101">
        <f>IF(OR(Z396="",AA396=""),0,IFERROR(INDEX(#REF!,MATCH(Z396,#REF!,0))*AA396,0))</f>
        <v>0</v>
      </c>
      <c r="AC396" s="7"/>
      <c r="AD396" s="74"/>
      <c r="AE396" s="101">
        <f>IF(OR(AC396="",AD396=""),0,IFERROR(INDEX(#REF!,MATCH(AC396,#REF!,0))*AD396,0))</f>
        <v>0</v>
      </c>
      <c r="AF396" s="7"/>
      <c r="AG396" s="74"/>
      <c r="AH396" s="101">
        <f>IF(OR(AF396="",AG396=""),0,IFERROR(INDEX(#REF!,MATCH(AF396,#REF!,0))*AG396,0))</f>
        <v>0</v>
      </c>
      <c r="AI396" s="7"/>
      <c r="AJ396" s="74"/>
      <c r="AK396" s="101">
        <f>IF(OR(AI396="",AJ396=""),0,IFERROR(INDEX(#REF!,MATCH(AI396,#REF!,0))*AJ396,0))</f>
        <v>0</v>
      </c>
      <c r="AL396" s="101">
        <f t="shared" si="60"/>
        <v>0</v>
      </c>
      <c r="AM396" s="7"/>
      <c r="AN396" s="72"/>
      <c r="AO396" s="99">
        <f>IF(OR(AM396="",AN396=""),0,IFERROR(INDEX(#REF!,MATCH(AM396,#REF!,0))*AN396,0))</f>
        <v>0</v>
      </c>
      <c r="AP396" s="7"/>
      <c r="AQ396" s="74"/>
      <c r="AR396" s="99">
        <f>IF(OR(AP396="",AQ396=""),0,IFERROR(INDEX(#REF!,MATCH(AP396,#REF!,0))*AQ396,0))</f>
        <v>0</v>
      </c>
      <c r="AS396" s="7"/>
      <c r="AT396" s="74"/>
      <c r="AU396" s="99">
        <f>IF(OR(AS396="",AT396=""),0,IFERROR(INDEX(#REF!,MATCH(AS396,#REF!,0))*AT396,0))</f>
        <v>0</v>
      </c>
      <c r="AV396" s="7"/>
      <c r="AW396" s="74"/>
      <c r="AX396" s="99">
        <f>IF(OR(AV396="",AW396=""),0,IFERROR(INDEX(#REF!,MATCH(AV396,#REF!,0))*AW396,0))</f>
        <v>0</v>
      </c>
      <c r="AY396" s="7"/>
      <c r="AZ396" s="77"/>
      <c r="BA396" s="99">
        <f>IF(OR(AY396="",AZ396=""),0,IFERROR(INDEX(#REF!,MATCH(AY396,#REF!,0))*AZ396,0))</f>
        <v>0</v>
      </c>
      <c r="BB396" s="100">
        <f t="shared" si="61"/>
        <v>0</v>
      </c>
      <c r="BC396" s="110" t="str">
        <f t="shared" si="62"/>
        <v/>
      </c>
      <c r="BD396" s="62"/>
    </row>
    <row r="397" spans="1:56" ht="19.5" customHeight="1" x14ac:dyDescent="0.45">
      <c r="A397" s="104" t="str">
        <f t="shared" si="54"/>
        <v/>
      </c>
      <c r="B397" s="5"/>
      <c r="C397" s="109"/>
      <c r="D397" s="107"/>
      <c r="E397" s="6"/>
      <c r="F397" s="85"/>
      <c r="G397" s="85"/>
      <c r="H397" s="104" t="str">
        <f t="shared" si="55"/>
        <v/>
      </c>
      <c r="I397" s="103" t="str">
        <f>IFERROR(INDEX(#REF!,MATCH(E397,#REF!,0)),"")</f>
        <v/>
      </c>
      <c r="J397" s="6"/>
      <c r="K397" s="103" t="str">
        <f t="shared" si="56"/>
        <v/>
      </c>
      <c r="L397" s="8"/>
      <c r="M397" s="102" t="str">
        <f t="shared" si="57"/>
        <v/>
      </c>
      <c r="N397" s="9"/>
      <c r="O397" s="103" t="str">
        <f t="shared" si="58"/>
        <v/>
      </c>
      <c r="P397" s="6"/>
      <c r="Q397" s="7"/>
      <c r="R397" s="10"/>
      <c r="S397" s="29" t="str">
        <f t="shared" ca="1" si="59"/>
        <v/>
      </c>
      <c r="T397" s="7"/>
      <c r="U397" s="74"/>
      <c r="V397" s="101">
        <f>IF(OR(T397="",U397=""),0,IFERROR(INDEX(#REF!,MATCH(T397,#REF!,0))*U397,0))</f>
        <v>0</v>
      </c>
      <c r="W397" s="7"/>
      <c r="X397" s="74"/>
      <c r="Y397" s="101">
        <f>IF(OR(W397="",X397=""),0,IFERROR(INDEX(#REF!,MATCH(W397,#REF!,0))*X397,0))</f>
        <v>0</v>
      </c>
      <c r="Z397" s="7"/>
      <c r="AA397" s="74"/>
      <c r="AB397" s="101">
        <f>IF(OR(Z397="",AA397=""),0,IFERROR(INDEX(#REF!,MATCH(Z397,#REF!,0))*AA397,0))</f>
        <v>0</v>
      </c>
      <c r="AC397" s="7"/>
      <c r="AD397" s="74"/>
      <c r="AE397" s="101">
        <f>IF(OR(AC397="",AD397=""),0,IFERROR(INDEX(#REF!,MATCH(AC397,#REF!,0))*AD397,0))</f>
        <v>0</v>
      </c>
      <c r="AF397" s="7"/>
      <c r="AG397" s="74"/>
      <c r="AH397" s="101">
        <f>IF(OR(AF397="",AG397=""),0,IFERROR(INDEX(#REF!,MATCH(AF397,#REF!,0))*AG397,0))</f>
        <v>0</v>
      </c>
      <c r="AI397" s="7"/>
      <c r="AJ397" s="74"/>
      <c r="AK397" s="101">
        <f>IF(OR(AI397="",AJ397=""),0,IFERROR(INDEX(#REF!,MATCH(AI397,#REF!,0))*AJ397,0))</f>
        <v>0</v>
      </c>
      <c r="AL397" s="101">
        <f t="shared" si="60"/>
        <v>0</v>
      </c>
      <c r="AM397" s="7"/>
      <c r="AN397" s="72"/>
      <c r="AO397" s="99">
        <f>IF(OR(AM397="",AN397=""),0,IFERROR(INDEX(#REF!,MATCH(AM397,#REF!,0))*AN397,0))</f>
        <v>0</v>
      </c>
      <c r="AP397" s="7"/>
      <c r="AQ397" s="74"/>
      <c r="AR397" s="99">
        <f>IF(OR(AP397="",AQ397=""),0,IFERROR(INDEX(#REF!,MATCH(AP397,#REF!,0))*AQ397,0))</f>
        <v>0</v>
      </c>
      <c r="AS397" s="7"/>
      <c r="AT397" s="74"/>
      <c r="AU397" s="99">
        <f>IF(OR(AS397="",AT397=""),0,IFERROR(INDEX(#REF!,MATCH(AS397,#REF!,0))*AT397,0))</f>
        <v>0</v>
      </c>
      <c r="AV397" s="7"/>
      <c r="AW397" s="74"/>
      <c r="AX397" s="99">
        <f>IF(OR(AV397="",AW397=""),0,IFERROR(INDEX(#REF!,MATCH(AV397,#REF!,0))*AW397,0))</f>
        <v>0</v>
      </c>
      <c r="AY397" s="7"/>
      <c r="AZ397" s="77"/>
      <c r="BA397" s="99">
        <f>IF(OR(AY397="",AZ397=""),0,IFERROR(INDEX(#REF!,MATCH(AY397,#REF!,0))*AZ397,0))</f>
        <v>0</v>
      </c>
      <c r="BB397" s="100">
        <f t="shared" si="61"/>
        <v>0</v>
      </c>
      <c r="BC397" s="110" t="str">
        <f t="shared" si="62"/>
        <v/>
      </c>
      <c r="BD397" s="62"/>
    </row>
    <row r="398" spans="1:56" ht="19.5" customHeight="1" x14ac:dyDescent="0.45">
      <c r="A398" s="104" t="str">
        <f t="shared" si="54"/>
        <v/>
      </c>
      <c r="B398" s="5"/>
      <c r="C398" s="109"/>
      <c r="D398" s="107"/>
      <c r="E398" s="6"/>
      <c r="F398" s="85"/>
      <c r="G398" s="85"/>
      <c r="H398" s="104" t="str">
        <f t="shared" si="55"/>
        <v/>
      </c>
      <c r="I398" s="103" t="str">
        <f>IFERROR(INDEX(#REF!,MATCH(E398,#REF!,0)),"")</f>
        <v/>
      </c>
      <c r="J398" s="6"/>
      <c r="K398" s="103" t="str">
        <f t="shared" si="56"/>
        <v/>
      </c>
      <c r="L398" s="8"/>
      <c r="M398" s="102" t="str">
        <f t="shared" si="57"/>
        <v/>
      </c>
      <c r="N398" s="9"/>
      <c r="O398" s="103" t="str">
        <f t="shared" si="58"/>
        <v/>
      </c>
      <c r="P398" s="6"/>
      <c r="Q398" s="7"/>
      <c r="R398" s="10"/>
      <c r="S398" s="29" t="str">
        <f t="shared" ca="1" si="59"/>
        <v/>
      </c>
      <c r="T398" s="7"/>
      <c r="U398" s="74"/>
      <c r="V398" s="101">
        <f>IF(OR(T398="",U398=""),0,IFERROR(INDEX(#REF!,MATCH(T398,#REF!,0))*U398,0))</f>
        <v>0</v>
      </c>
      <c r="W398" s="7"/>
      <c r="X398" s="74"/>
      <c r="Y398" s="101">
        <f>IF(OR(W398="",X398=""),0,IFERROR(INDEX(#REF!,MATCH(W398,#REF!,0))*X398,0))</f>
        <v>0</v>
      </c>
      <c r="Z398" s="7"/>
      <c r="AA398" s="74"/>
      <c r="AB398" s="101">
        <f>IF(OR(Z398="",AA398=""),0,IFERROR(INDEX(#REF!,MATCH(Z398,#REF!,0))*AA398,0))</f>
        <v>0</v>
      </c>
      <c r="AC398" s="7"/>
      <c r="AD398" s="74"/>
      <c r="AE398" s="101">
        <f>IF(OR(AC398="",AD398=""),0,IFERROR(INDEX(#REF!,MATCH(AC398,#REF!,0))*AD398,0))</f>
        <v>0</v>
      </c>
      <c r="AF398" s="7"/>
      <c r="AG398" s="74"/>
      <c r="AH398" s="101">
        <f>IF(OR(AF398="",AG398=""),0,IFERROR(INDEX(#REF!,MATCH(AF398,#REF!,0))*AG398,0))</f>
        <v>0</v>
      </c>
      <c r="AI398" s="7"/>
      <c r="AJ398" s="74"/>
      <c r="AK398" s="101">
        <f>IF(OR(AI398="",AJ398=""),0,IFERROR(INDEX(#REF!,MATCH(AI398,#REF!,0))*AJ398,0))</f>
        <v>0</v>
      </c>
      <c r="AL398" s="101">
        <f t="shared" si="60"/>
        <v>0</v>
      </c>
      <c r="AM398" s="7"/>
      <c r="AN398" s="72"/>
      <c r="AO398" s="99">
        <f>IF(OR(AM398="",AN398=""),0,IFERROR(INDEX(#REF!,MATCH(AM398,#REF!,0))*AN398,0))</f>
        <v>0</v>
      </c>
      <c r="AP398" s="7"/>
      <c r="AQ398" s="74"/>
      <c r="AR398" s="99">
        <f>IF(OR(AP398="",AQ398=""),0,IFERROR(INDEX(#REF!,MATCH(AP398,#REF!,0))*AQ398,0))</f>
        <v>0</v>
      </c>
      <c r="AS398" s="7"/>
      <c r="AT398" s="74"/>
      <c r="AU398" s="99">
        <f>IF(OR(AS398="",AT398=""),0,IFERROR(INDEX(#REF!,MATCH(AS398,#REF!,0))*AT398,0))</f>
        <v>0</v>
      </c>
      <c r="AV398" s="7"/>
      <c r="AW398" s="74"/>
      <c r="AX398" s="99">
        <f>IF(OR(AV398="",AW398=""),0,IFERROR(INDEX(#REF!,MATCH(AV398,#REF!,0))*AW398,0))</f>
        <v>0</v>
      </c>
      <c r="AY398" s="7"/>
      <c r="AZ398" s="77"/>
      <c r="BA398" s="99">
        <f>IF(OR(AY398="",AZ398=""),0,IFERROR(INDEX(#REF!,MATCH(AY398,#REF!,0))*AZ398,0))</f>
        <v>0</v>
      </c>
      <c r="BB398" s="100">
        <f t="shared" si="61"/>
        <v>0</v>
      </c>
      <c r="BC398" s="110" t="str">
        <f t="shared" si="62"/>
        <v/>
      </c>
      <c r="BD398" s="62"/>
    </row>
    <row r="399" spans="1:56" ht="19.5" customHeight="1" x14ac:dyDescent="0.45">
      <c r="A399" s="104" t="str">
        <f t="shared" si="54"/>
        <v/>
      </c>
      <c r="B399" s="5"/>
      <c r="C399" s="109"/>
      <c r="D399" s="107"/>
      <c r="E399" s="6"/>
      <c r="F399" s="85"/>
      <c r="G399" s="85"/>
      <c r="H399" s="104" t="str">
        <f t="shared" si="55"/>
        <v/>
      </c>
      <c r="I399" s="103" t="str">
        <f>IFERROR(INDEX(#REF!,MATCH(E399,#REF!,0)),"")</f>
        <v/>
      </c>
      <c r="J399" s="6"/>
      <c r="K399" s="103" t="str">
        <f t="shared" si="56"/>
        <v/>
      </c>
      <c r="L399" s="8"/>
      <c r="M399" s="102" t="str">
        <f t="shared" si="57"/>
        <v/>
      </c>
      <c r="N399" s="9"/>
      <c r="O399" s="103" t="str">
        <f t="shared" si="58"/>
        <v/>
      </c>
      <c r="P399" s="6"/>
      <c r="Q399" s="7"/>
      <c r="R399" s="10"/>
      <c r="S399" s="29" t="str">
        <f t="shared" ca="1" si="59"/>
        <v/>
      </c>
      <c r="T399" s="7"/>
      <c r="U399" s="74"/>
      <c r="V399" s="101">
        <f>IF(OR(T399="",U399=""),0,IFERROR(INDEX(#REF!,MATCH(T399,#REF!,0))*U399,0))</f>
        <v>0</v>
      </c>
      <c r="W399" s="7"/>
      <c r="X399" s="74"/>
      <c r="Y399" s="101">
        <f>IF(OR(W399="",X399=""),0,IFERROR(INDEX(#REF!,MATCH(W399,#REF!,0))*X399,0))</f>
        <v>0</v>
      </c>
      <c r="Z399" s="7"/>
      <c r="AA399" s="74"/>
      <c r="AB399" s="101">
        <f>IF(OR(Z399="",AA399=""),0,IFERROR(INDEX(#REF!,MATCH(Z399,#REF!,0))*AA399,0))</f>
        <v>0</v>
      </c>
      <c r="AC399" s="7"/>
      <c r="AD399" s="74"/>
      <c r="AE399" s="101">
        <f>IF(OR(AC399="",AD399=""),0,IFERROR(INDEX(#REF!,MATCH(AC399,#REF!,0))*AD399,0))</f>
        <v>0</v>
      </c>
      <c r="AF399" s="7"/>
      <c r="AG399" s="74"/>
      <c r="AH399" s="101">
        <f>IF(OR(AF399="",AG399=""),0,IFERROR(INDEX(#REF!,MATCH(AF399,#REF!,0))*AG399,0))</f>
        <v>0</v>
      </c>
      <c r="AI399" s="7"/>
      <c r="AJ399" s="74"/>
      <c r="AK399" s="101">
        <f>IF(OR(AI399="",AJ399=""),0,IFERROR(INDEX(#REF!,MATCH(AI399,#REF!,0))*AJ399,0))</f>
        <v>0</v>
      </c>
      <c r="AL399" s="101">
        <f t="shared" si="60"/>
        <v>0</v>
      </c>
      <c r="AM399" s="7"/>
      <c r="AN399" s="72"/>
      <c r="AO399" s="99">
        <f>IF(OR(AM399="",AN399=""),0,IFERROR(INDEX(#REF!,MATCH(AM399,#REF!,0))*AN399,0))</f>
        <v>0</v>
      </c>
      <c r="AP399" s="7"/>
      <c r="AQ399" s="74"/>
      <c r="AR399" s="99">
        <f>IF(OR(AP399="",AQ399=""),0,IFERROR(INDEX(#REF!,MATCH(AP399,#REF!,0))*AQ399,0))</f>
        <v>0</v>
      </c>
      <c r="AS399" s="7"/>
      <c r="AT399" s="74"/>
      <c r="AU399" s="99">
        <f>IF(OR(AS399="",AT399=""),0,IFERROR(INDEX(#REF!,MATCH(AS399,#REF!,0))*AT399,0))</f>
        <v>0</v>
      </c>
      <c r="AV399" s="7"/>
      <c r="AW399" s="74"/>
      <c r="AX399" s="99">
        <f>IF(OR(AV399="",AW399=""),0,IFERROR(INDEX(#REF!,MATCH(AV399,#REF!,0))*AW399,0))</f>
        <v>0</v>
      </c>
      <c r="AY399" s="7"/>
      <c r="AZ399" s="77"/>
      <c r="BA399" s="99">
        <f>IF(OR(AY399="",AZ399=""),0,IFERROR(INDEX(#REF!,MATCH(AY399,#REF!,0))*AZ399,0))</f>
        <v>0</v>
      </c>
      <c r="BB399" s="100">
        <f t="shared" si="61"/>
        <v>0</v>
      </c>
      <c r="BC399" s="110" t="str">
        <f t="shared" si="62"/>
        <v/>
      </c>
      <c r="BD399" s="62"/>
    </row>
    <row r="400" spans="1:56" ht="19.5" customHeight="1" x14ac:dyDescent="0.45">
      <c r="A400" s="104" t="str">
        <f t="shared" si="54"/>
        <v/>
      </c>
      <c r="B400" s="5"/>
      <c r="C400" s="109"/>
      <c r="D400" s="107"/>
      <c r="E400" s="6"/>
      <c r="F400" s="85"/>
      <c r="G400" s="85"/>
      <c r="H400" s="104" t="str">
        <f t="shared" si="55"/>
        <v/>
      </c>
      <c r="I400" s="103" t="str">
        <f>IFERROR(INDEX(#REF!,MATCH(E400,#REF!,0)),"")</f>
        <v/>
      </c>
      <c r="J400" s="6"/>
      <c r="K400" s="103" t="str">
        <f t="shared" si="56"/>
        <v/>
      </c>
      <c r="L400" s="8"/>
      <c r="M400" s="102" t="str">
        <f t="shared" si="57"/>
        <v/>
      </c>
      <c r="N400" s="9"/>
      <c r="O400" s="103" t="str">
        <f t="shared" si="58"/>
        <v/>
      </c>
      <c r="P400" s="6"/>
      <c r="Q400" s="7"/>
      <c r="R400" s="10"/>
      <c r="S400" s="29" t="str">
        <f t="shared" ca="1" si="59"/>
        <v/>
      </c>
      <c r="T400" s="7"/>
      <c r="U400" s="74"/>
      <c r="V400" s="101">
        <f>IF(OR(T400="",U400=""),0,IFERROR(INDEX(#REF!,MATCH(T400,#REF!,0))*U400,0))</f>
        <v>0</v>
      </c>
      <c r="W400" s="7"/>
      <c r="X400" s="74"/>
      <c r="Y400" s="101">
        <f>IF(OR(W400="",X400=""),0,IFERROR(INDEX(#REF!,MATCH(W400,#REF!,0))*X400,0))</f>
        <v>0</v>
      </c>
      <c r="Z400" s="7"/>
      <c r="AA400" s="74"/>
      <c r="AB400" s="101">
        <f>IF(OR(Z400="",AA400=""),0,IFERROR(INDEX(#REF!,MATCH(Z400,#REF!,0))*AA400,0))</f>
        <v>0</v>
      </c>
      <c r="AC400" s="7"/>
      <c r="AD400" s="74"/>
      <c r="AE400" s="101">
        <f>IF(OR(AC400="",AD400=""),0,IFERROR(INDEX(#REF!,MATCH(AC400,#REF!,0))*AD400,0))</f>
        <v>0</v>
      </c>
      <c r="AF400" s="7"/>
      <c r="AG400" s="74"/>
      <c r="AH400" s="101">
        <f>IF(OR(AF400="",AG400=""),0,IFERROR(INDEX(#REF!,MATCH(AF400,#REF!,0))*AG400,0))</f>
        <v>0</v>
      </c>
      <c r="AI400" s="7"/>
      <c r="AJ400" s="74"/>
      <c r="AK400" s="101">
        <f>IF(OR(AI400="",AJ400=""),0,IFERROR(INDEX(#REF!,MATCH(AI400,#REF!,0))*AJ400,0))</f>
        <v>0</v>
      </c>
      <c r="AL400" s="101">
        <f t="shared" si="60"/>
        <v>0</v>
      </c>
      <c r="AM400" s="7"/>
      <c r="AN400" s="72"/>
      <c r="AO400" s="99">
        <f>IF(OR(AM400="",AN400=""),0,IFERROR(INDEX(#REF!,MATCH(AM400,#REF!,0))*AN400,0))</f>
        <v>0</v>
      </c>
      <c r="AP400" s="7"/>
      <c r="AQ400" s="74"/>
      <c r="AR400" s="99">
        <f>IF(OR(AP400="",AQ400=""),0,IFERROR(INDEX(#REF!,MATCH(AP400,#REF!,0))*AQ400,0))</f>
        <v>0</v>
      </c>
      <c r="AS400" s="7"/>
      <c r="AT400" s="74"/>
      <c r="AU400" s="99">
        <f>IF(OR(AS400="",AT400=""),0,IFERROR(INDEX(#REF!,MATCH(AS400,#REF!,0))*AT400,0))</f>
        <v>0</v>
      </c>
      <c r="AV400" s="7"/>
      <c r="AW400" s="74"/>
      <c r="AX400" s="99">
        <f>IF(OR(AV400="",AW400=""),0,IFERROR(INDEX(#REF!,MATCH(AV400,#REF!,0))*AW400,0))</f>
        <v>0</v>
      </c>
      <c r="AY400" s="7"/>
      <c r="AZ400" s="77"/>
      <c r="BA400" s="99">
        <f>IF(OR(AY400="",AZ400=""),0,IFERROR(INDEX(#REF!,MATCH(AY400,#REF!,0))*AZ400,0))</f>
        <v>0</v>
      </c>
      <c r="BB400" s="100">
        <f t="shared" si="61"/>
        <v>0</v>
      </c>
      <c r="BC400" s="110" t="str">
        <f t="shared" si="62"/>
        <v/>
      </c>
      <c r="BD400" s="62"/>
    </row>
    <row r="401" spans="1:56" ht="19.5" customHeight="1" x14ac:dyDescent="0.45">
      <c r="A401" s="104" t="str">
        <f t="shared" si="54"/>
        <v/>
      </c>
      <c r="B401" s="5"/>
      <c r="C401" s="109"/>
      <c r="D401" s="107"/>
      <c r="E401" s="6"/>
      <c r="F401" s="85"/>
      <c r="G401" s="85"/>
      <c r="H401" s="104" t="str">
        <f t="shared" si="55"/>
        <v/>
      </c>
      <c r="I401" s="103" t="str">
        <f>IFERROR(INDEX(#REF!,MATCH(E401,#REF!,0)),"")</f>
        <v/>
      </c>
      <c r="J401" s="6"/>
      <c r="K401" s="103" t="str">
        <f t="shared" si="56"/>
        <v/>
      </c>
      <c r="L401" s="8"/>
      <c r="M401" s="102" t="str">
        <f t="shared" si="57"/>
        <v/>
      </c>
      <c r="N401" s="9"/>
      <c r="O401" s="103" t="str">
        <f t="shared" si="58"/>
        <v/>
      </c>
      <c r="P401" s="6"/>
      <c r="Q401" s="7"/>
      <c r="R401" s="10"/>
      <c r="S401" s="29" t="str">
        <f t="shared" ca="1" si="59"/>
        <v/>
      </c>
      <c r="T401" s="7"/>
      <c r="U401" s="74"/>
      <c r="V401" s="101">
        <f>IF(OR(T401="",U401=""),0,IFERROR(INDEX(#REF!,MATCH(T401,#REF!,0))*U401,0))</f>
        <v>0</v>
      </c>
      <c r="W401" s="7"/>
      <c r="X401" s="74"/>
      <c r="Y401" s="101">
        <f>IF(OR(W401="",X401=""),0,IFERROR(INDEX(#REF!,MATCH(W401,#REF!,0))*X401,0))</f>
        <v>0</v>
      </c>
      <c r="Z401" s="7"/>
      <c r="AA401" s="74"/>
      <c r="AB401" s="101">
        <f>IF(OR(Z401="",AA401=""),0,IFERROR(INDEX(#REF!,MATCH(Z401,#REF!,0))*AA401,0))</f>
        <v>0</v>
      </c>
      <c r="AC401" s="7"/>
      <c r="AD401" s="74"/>
      <c r="AE401" s="101">
        <f>IF(OR(AC401="",AD401=""),0,IFERROR(INDEX(#REF!,MATCH(AC401,#REF!,0))*AD401,0))</f>
        <v>0</v>
      </c>
      <c r="AF401" s="7"/>
      <c r="AG401" s="74"/>
      <c r="AH401" s="101">
        <f>IF(OR(AF401="",AG401=""),0,IFERROR(INDEX(#REF!,MATCH(AF401,#REF!,0))*AG401,0))</f>
        <v>0</v>
      </c>
      <c r="AI401" s="7"/>
      <c r="AJ401" s="74"/>
      <c r="AK401" s="101">
        <f>IF(OR(AI401="",AJ401=""),0,IFERROR(INDEX(#REF!,MATCH(AI401,#REF!,0))*AJ401,0))</f>
        <v>0</v>
      </c>
      <c r="AL401" s="101">
        <f t="shared" si="60"/>
        <v>0</v>
      </c>
      <c r="AM401" s="7"/>
      <c r="AN401" s="72"/>
      <c r="AO401" s="99">
        <f>IF(OR(AM401="",AN401=""),0,IFERROR(INDEX(#REF!,MATCH(AM401,#REF!,0))*AN401,0))</f>
        <v>0</v>
      </c>
      <c r="AP401" s="7"/>
      <c r="AQ401" s="74"/>
      <c r="AR401" s="99">
        <f>IF(OR(AP401="",AQ401=""),0,IFERROR(INDEX(#REF!,MATCH(AP401,#REF!,0))*AQ401,0))</f>
        <v>0</v>
      </c>
      <c r="AS401" s="7"/>
      <c r="AT401" s="74"/>
      <c r="AU401" s="99">
        <f>IF(OR(AS401="",AT401=""),0,IFERROR(INDEX(#REF!,MATCH(AS401,#REF!,0))*AT401,0))</f>
        <v>0</v>
      </c>
      <c r="AV401" s="7"/>
      <c r="AW401" s="74"/>
      <c r="AX401" s="99">
        <f>IF(OR(AV401="",AW401=""),0,IFERROR(INDEX(#REF!,MATCH(AV401,#REF!,0))*AW401,0))</f>
        <v>0</v>
      </c>
      <c r="AY401" s="7"/>
      <c r="AZ401" s="77"/>
      <c r="BA401" s="99">
        <f>IF(OR(AY401="",AZ401=""),0,IFERROR(INDEX(#REF!,MATCH(AY401,#REF!,0))*AZ401,0))</f>
        <v>0</v>
      </c>
      <c r="BB401" s="100">
        <f t="shared" si="61"/>
        <v>0</v>
      </c>
      <c r="BC401" s="110" t="str">
        <f t="shared" si="62"/>
        <v/>
      </c>
      <c r="BD401" s="62"/>
    </row>
    <row r="402" spans="1:56" ht="19.5" customHeight="1" x14ac:dyDescent="0.45">
      <c r="A402" s="104" t="str">
        <f t="shared" si="54"/>
        <v/>
      </c>
      <c r="B402" s="5"/>
      <c r="C402" s="109"/>
      <c r="D402" s="107"/>
      <c r="E402" s="6"/>
      <c r="F402" s="85"/>
      <c r="G402" s="85"/>
      <c r="H402" s="104" t="str">
        <f t="shared" si="55"/>
        <v/>
      </c>
      <c r="I402" s="103" t="str">
        <f>IFERROR(INDEX(#REF!,MATCH(E402,#REF!,0)),"")</f>
        <v/>
      </c>
      <c r="J402" s="6"/>
      <c r="K402" s="103" t="str">
        <f t="shared" si="56"/>
        <v/>
      </c>
      <c r="L402" s="8"/>
      <c r="M402" s="102" t="str">
        <f t="shared" si="57"/>
        <v/>
      </c>
      <c r="N402" s="9"/>
      <c r="O402" s="103" t="str">
        <f t="shared" si="58"/>
        <v/>
      </c>
      <c r="P402" s="6"/>
      <c r="Q402" s="7"/>
      <c r="R402" s="10"/>
      <c r="S402" s="29" t="str">
        <f t="shared" ca="1" si="59"/>
        <v/>
      </c>
      <c r="T402" s="7"/>
      <c r="U402" s="74"/>
      <c r="V402" s="101">
        <f>IF(OR(T402="",U402=""),0,IFERROR(INDEX(#REF!,MATCH(T402,#REF!,0))*U402,0))</f>
        <v>0</v>
      </c>
      <c r="W402" s="7"/>
      <c r="X402" s="74"/>
      <c r="Y402" s="101">
        <f>IF(OR(W402="",X402=""),0,IFERROR(INDEX(#REF!,MATCH(W402,#REF!,0))*X402,0))</f>
        <v>0</v>
      </c>
      <c r="Z402" s="7"/>
      <c r="AA402" s="74"/>
      <c r="AB402" s="101">
        <f>IF(OR(Z402="",AA402=""),0,IFERROR(INDEX(#REF!,MATCH(Z402,#REF!,0))*AA402,0))</f>
        <v>0</v>
      </c>
      <c r="AC402" s="7"/>
      <c r="AD402" s="74"/>
      <c r="AE402" s="101">
        <f>IF(OR(AC402="",AD402=""),0,IFERROR(INDEX(#REF!,MATCH(AC402,#REF!,0))*AD402,0))</f>
        <v>0</v>
      </c>
      <c r="AF402" s="7"/>
      <c r="AG402" s="74"/>
      <c r="AH402" s="101">
        <f>IF(OR(AF402="",AG402=""),0,IFERROR(INDEX(#REF!,MATCH(AF402,#REF!,0))*AG402,0))</f>
        <v>0</v>
      </c>
      <c r="AI402" s="7"/>
      <c r="AJ402" s="74"/>
      <c r="AK402" s="101">
        <f>IF(OR(AI402="",AJ402=""),0,IFERROR(INDEX(#REF!,MATCH(AI402,#REF!,0))*AJ402,0))</f>
        <v>0</v>
      </c>
      <c r="AL402" s="101">
        <f t="shared" si="60"/>
        <v>0</v>
      </c>
      <c r="AM402" s="7"/>
      <c r="AN402" s="72"/>
      <c r="AO402" s="99">
        <f>IF(OR(AM402="",AN402=""),0,IFERROR(INDEX(#REF!,MATCH(AM402,#REF!,0))*AN402,0))</f>
        <v>0</v>
      </c>
      <c r="AP402" s="7"/>
      <c r="AQ402" s="74"/>
      <c r="AR402" s="99">
        <f>IF(OR(AP402="",AQ402=""),0,IFERROR(INDEX(#REF!,MATCH(AP402,#REF!,0))*AQ402,0))</f>
        <v>0</v>
      </c>
      <c r="AS402" s="7"/>
      <c r="AT402" s="74"/>
      <c r="AU402" s="99">
        <f>IF(OR(AS402="",AT402=""),0,IFERROR(INDEX(#REF!,MATCH(AS402,#REF!,0))*AT402,0))</f>
        <v>0</v>
      </c>
      <c r="AV402" s="7"/>
      <c r="AW402" s="74"/>
      <c r="AX402" s="99">
        <f>IF(OR(AV402="",AW402=""),0,IFERROR(INDEX(#REF!,MATCH(AV402,#REF!,0))*AW402,0))</f>
        <v>0</v>
      </c>
      <c r="AY402" s="7"/>
      <c r="AZ402" s="77"/>
      <c r="BA402" s="99">
        <f>IF(OR(AY402="",AZ402=""),0,IFERROR(INDEX(#REF!,MATCH(AY402,#REF!,0))*AZ402,0))</f>
        <v>0</v>
      </c>
      <c r="BB402" s="100">
        <f t="shared" si="61"/>
        <v>0</v>
      </c>
      <c r="BC402" s="110" t="str">
        <f t="shared" si="62"/>
        <v/>
      </c>
      <c r="BD402" s="62"/>
    </row>
    <row r="403" spans="1:56" ht="19.5" customHeight="1" x14ac:dyDescent="0.45">
      <c r="A403" s="104" t="str">
        <f t="shared" si="54"/>
        <v/>
      </c>
      <c r="B403" s="5"/>
      <c r="C403" s="109"/>
      <c r="D403" s="107"/>
      <c r="E403" s="6"/>
      <c r="F403" s="85"/>
      <c r="G403" s="85"/>
      <c r="H403" s="104" t="str">
        <f t="shared" si="55"/>
        <v/>
      </c>
      <c r="I403" s="103" t="str">
        <f>IFERROR(INDEX(#REF!,MATCH(E403,#REF!,0)),"")</f>
        <v/>
      </c>
      <c r="J403" s="6"/>
      <c r="K403" s="103" t="str">
        <f t="shared" si="56"/>
        <v/>
      </c>
      <c r="L403" s="8"/>
      <c r="M403" s="102" t="str">
        <f t="shared" si="57"/>
        <v/>
      </c>
      <c r="N403" s="9"/>
      <c r="O403" s="103" t="str">
        <f t="shared" si="58"/>
        <v/>
      </c>
      <c r="P403" s="6"/>
      <c r="Q403" s="7"/>
      <c r="R403" s="10"/>
      <c r="S403" s="29" t="str">
        <f t="shared" ca="1" si="59"/>
        <v/>
      </c>
      <c r="T403" s="7"/>
      <c r="U403" s="74"/>
      <c r="V403" s="101">
        <f>IF(OR(T403="",U403=""),0,IFERROR(INDEX(#REF!,MATCH(T403,#REF!,0))*U403,0))</f>
        <v>0</v>
      </c>
      <c r="W403" s="7"/>
      <c r="X403" s="74"/>
      <c r="Y403" s="101">
        <f>IF(OR(W403="",X403=""),0,IFERROR(INDEX(#REF!,MATCH(W403,#REF!,0))*X403,0))</f>
        <v>0</v>
      </c>
      <c r="Z403" s="7"/>
      <c r="AA403" s="74"/>
      <c r="AB403" s="101">
        <f>IF(OR(Z403="",AA403=""),0,IFERROR(INDEX(#REF!,MATCH(Z403,#REF!,0))*AA403,0))</f>
        <v>0</v>
      </c>
      <c r="AC403" s="7"/>
      <c r="AD403" s="74"/>
      <c r="AE403" s="101">
        <f>IF(OR(AC403="",AD403=""),0,IFERROR(INDEX(#REF!,MATCH(AC403,#REF!,0))*AD403,0))</f>
        <v>0</v>
      </c>
      <c r="AF403" s="7"/>
      <c r="AG403" s="74"/>
      <c r="AH403" s="101">
        <f>IF(OR(AF403="",AG403=""),0,IFERROR(INDEX(#REF!,MATCH(AF403,#REF!,0))*AG403,0))</f>
        <v>0</v>
      </c>
      <c r="AI403" s="7"/>
      <c r="AJ403" s="74"/>
      <c r="AK403" s="101">
        <f>IF(OR(AI403="",AJ403=""),0,IFERROR(INDEX(#REF!,MATCH(AI403,#REF!,0))*AJ403,0))</f>
        <v>0</v>
      </c>
      <c r="AL403" s="101">
        <f t="shared" si="60"/>
        <v>0</v>
      </c>
      <c r="AM403" s="7"/>
      <c r="AN403" s="72"/>
      <c r="AO403" s="99">
        <f>IF(OR(AM403="",AN403=""),0,IFERROR(INDEX(#REF!,MATCH(AM403,#REF!,0))*AN403,0))</f>
        <v>0</v>
      </c>
      <c r="AP403" s="7"/>
      <c r="AQ403" s="74"/>
      <c r="AR403" s="99">
        <f>IF(OR(AP403="",AQ403=""),0,IFERROR(INDEX(#REF!,MATCH(AP403,#REF!,0))*AQ403,0))</f>
        <v>0</v>
      </c>
      <c r="AS403" s="7"/>
      <c r="AT403" s="74"/>
      <c r="AU403" s="99">
        <f>IF(OR(AS403="",AT403=""),0,IFERROR(INDEX(#REF!,MATCH(AS403,#REF!,0))*AT403,0))</f>
        <v>0</v>
      </c>
      <c r="AV403" s="7"/>
      <c r="AW403" s="74"/>
      <c r="AX403" s="99">
        <f>IF(OR(AV403="",AW403=""),0,IFERROR(INDEX(#REF!,MATCH(AV403,#REF!,0))*AW403,0))</f>
        <v>0</v>
      </c>
      <c r="AY403" s="7"/>
      <c r="AZ403" s="77"/>
      <c r="BA403" s="99">
        <f>IF(OR(AY403="",AZ403=""),0,IFERROR(INDEX(#REF!,MATCH(AY403,#REF!,0))*AZ403,0))</f>
        <v>0</v>
      </c>
      <c r="BB403" s="100">
        <f t="shared" si="61"/>
        <v>0</v>
      </c>
      <c r="BC403" s="110" t="str">
        <f t="shared" si="62"/>
        <v/>
      </c>
      <c r="BD403" s="62"/>
    </row>
    <row r="404" spans="1:56" ht="19.5" customHeight="1" x14ac:dyDescent="0.45">
      <c r="A404" s="104" t="str">
        <f t="shared" si="54"/>
        <v/>
      </c>
      <c r="B404" s="5"/>
      <c r="C404" s="109"/>
      <c r="D404" s="107"/>
      <c r="E404" s="6"/>
      <c r="F404" s="85"/>
      <c r="G404" s="85"/>
      <c r="H404" s="104" t="str">
        <f t="shared" si="55"/>
        <v/>
      </c>
      <c r="I404" s="103" t="str">
        <f>IFERROR(INDEX(#REF!,MATCH(E404,#REF!,0)),"")</f>
        <v/>
      </c>
      <c r="J404" s="6"/>
      <c r="K404" s="103" t="str">
        <f t="shared" si="56"/>
        <v/>
      </c>
      <c r="L404" s="8"/>
      <c r="M404" s="102" t="str">
        <f t="shared" si="57"/>
        <v/>
      </c>
      <c r="N404" s="9"/>
      <c r="O404" s="103" t="str">
        <f t="shared" si="58"/>
        <v/>
      </c>
      <c r="P404" s="6"/>
      <c r="Q404" s="7"/>
      <c r="R404" s="10"/>
      <c r="S404" s="29" t="str">
        <f t="shared" ca="1" si="59"/>
        <v/>
      </c>
      <c r="T404" s="7"/>
      <c r="U404" s="74"/>
      <c r="V404" s="101">
        <f>IF(OR(T404="",U404=""),0,IFERROR(INDEX(#REF!,MATCH(T404,#REF!,0))*U404,0))</f>
        <v>0</v>
      </c>
      <c r="W404" s="7"/>
      <c r="X404" s="74"/>
      <c r="Y404" s="101">
        <f>IF(OR(W404="",X404=""),0,IFERROR(INDEX(#REF!,MATCH(W404,#REF!,0))*X404,0))</f>
        <v>0</v>
      </c>
      <c r="Z404" s="7"/>
      <c r="AA404" s="74"/>
      <c r="AB404" s="101">
        <f>IF(OR(Z404="",AA404=""),0,IFERROR(INDEX(#REF!,MATCH(Z404,#REF!,0))*AA404,0))</f>
        <v>0</v>
      </c>
      <c r="AC404" s="7"/>
      <c r="AD404" s="74"/>
      <c r="AE404" s="101">
        <f>IF(OR(AC404="",AD404=""),0,IFERROR(INDEX(#REF!,MATCH(AC404,#REF!,0))*AD404,0))</f>
        <v>0</v>
      </c>
      <c r="AF404" s="7"/>
      <c r="AG404" s="74"/>
      <c r="AH404" s="101">
        <f>IF(OR(AF404="",AG404=""),0,IFERROR(INDEX(#REF!,MATCH(AF404,#REF!,0))*AG404,0))</f>
        <v>0</v>
      </c>
      <c r="AI404" s="7"/>
      <c r="AJ404" s="74"/>
      <c r="AK404" s="101">
        <f>IF(OR(AI404="",AJ404=""),0,IFERROR(INDEX(#REF!,MATCH(AI404,#REF!,0))*AJ404,0))</f>
        <v>0</v>
      </c>
      <c r="AL404" s="101">
        <f t="shared" si="60"/>
        <v>0</v>
      </c>
      <c r="AM404" s="7"/>
      <c r="AN404" s="72"/>
      <c r="AO404" s="99">
        <f>IF(OR(AM404="",AN404=""),0,IFERROR(INDEX(#REF!,MATCH(AM404,#REF!,0))*AN404,0))</f>
        <v>0</v>
      </c>
      <c r="AP404" s="7"/>
      <c r="AQ404" s="74"/>
      <c r="AR404" s="99">
        <f>IF(OR(AP404="",AQ404=""),0,IFERROR(INDEX(#REF!,MATCH(AP404,#REF!,0))*AQ404,0))</f>
        <v>0</v>
      </c>
      <c r="AS404" s="7"/>
      <c r="AT404" s="74"/>
      <c r="AU404" s="99">
        <f>IF(OR(AS404="",AT404=""),0,IFERROR(INDEX(#REF!,MATCH(AS404,#REF!,0))*AT404,0))</f>
        <v>0</v>
      </c>
      <c r="AV404" s="7"/>
      <c r="AW404" s="74"/>
      <c r="AX404" s="99">
        <f>IF(OR(AV404="",AW404=""),0,IFERROR(INDEX(#REF!,MATCH(AV404,#REF!,0))*AW404,0))</f>
        <v>0</v>
      </c>
      <c r="AY404" s="7"/>
      <c r="AZ404" s="77"/>
      <c r="BA404" s="99">
        <f>IF(OR(AY404="",AZ404=""),0,IFERROR(INDEX(#REF!,MATCH(AY404,#REF!,0))*AZ404,0))</f>
        <v>0</v>
      </c>
      <c r="BB404" s="100">
        <f t="shared" si="61"/>
        <v>0</v>
      </c>
      <c r="BC404" s="110" t="str">
        <f t="shared" si="62"/>
        <v/>
      </c>
      <c r="BD404" s="62"/>
    </row>
    <row r="405" spans="1:56" ht="19.5" customHeight="1" x14ac:dyDescent="0.45">
      <c r="A405" s="104" t="str">
        <f t="shared" ref="A405:A468" si="63">IF(B405="","","BK-"&amp;TEXT(ROW()-4,"0000"))</f>
        <v/>
      </c>
      <c r="B405" s="5"/>
      <c r="C405" s="109"/>
      <c r="D405" s="107"/>
      <c r="E405" s="6"/>
      <c r="F405" s="85"/>
      <c r="G405" s="85"/>
      <c r="H405" s="104" t="str">
        <f t="shared" si="55"/>
        <v/>
      </c>
      <c r="I405" s="103" t="str">
        <f>IFERROR(INDEX(#REF!,MATCH(E405,#REF!,0)),"")</f>
        <v/>
      </c>
      <c r="J405" s="6"/>
      <c r="K405" s="103" t="str">
        <f t="shared" si="56"/>
        <v/>
      </c>
      <c r="L405" s="8"/>
      <c r="M405" s="102" t="str">
        <f t="shared" si="57"/>
        <v/>
      </c>
      <c r="N405" s="9"/>
      <c r="O405" s="103" t="str">
        <f t="shared" si="58"/>
        <v/>
      </c>
      <c r="P405" s="6"/>
      <c r="Q405" s="7"/>
      <c r="R405" s="10"/>
      <c r="S405" s="29" t="str">
        <f t="shared" ca="1" si="59"/>
        <v/>
      </c>
      <c r="T405" s="7"/>
      <c r="U405" s="74"/>
      <c r="V405" s="101">
        <f>IF(OR(T405="",U405=""),0,IFERROR(INDEX(#REF!,MATCH(T405,#REF!,0))*U405,0))</f>
        <v>0</v>
      </c>
      <c r="W405" s="7"/>
      <c r="X405" s="74"/>
      <c r="Y405" s="101">
        <f>IF(OR(W405="",X405=""),0,IFERROR(INDEX(#REF!,MATCH(W405,#REF!,0))*X405,0))</f>
        <v>0</v>
      </c>
      <c r="Z405" s="7"/>
      <c r="AA405" s="74"/>
      <c r="AB405" s="101">
        <f>IF(OR(Z405="",AA405=""),0,IFERROR(INDEX(#REF!,MATCH(Z405,#REF!,0))*AA405,0))</f>
        <v>0</v>
      </c>
      <c r="AC405" s="7"/>
      <c r="AD405" s="74"/>
      <c r="AE405" s="101">
        <f>IF(OR(AC405="",AD405=""),0,IFERROR(INDEX(#REF!,MATCH(AC405,#REF!,0))*AD405,0))</f>
        <v>0</v>
      </c>
      <c r="AF405" s="7"/>
      <c r="AG405" s="74"/>
      <c r="AH405" s="101">
        <f>IF(OR(AF405="",AG405=""),0,IFERROR(INDEX(#REF!,MATCH(AF405,#REF!,0))*AG405,0))</f>
        <v>0</v>
      </c>
      <c r="AI405" s="7"/>
      <c r="AJ405" s="74"/>
      <c r="AK405" s="101">
        <f>IF(OR(AI405="",AJ405=""),0,IFERROR(INDEX(#REF!,MATCH(AI405,#REF!,0))*AJ405,0))</f>
        <v>0</v>
      </c>
      <c r="AL405" s="101">
        <f t="shared" si="60"/>
        <v>0</v>
      </c>
      <c r="AM405" s="7"/>
      <c r="AN405" s="72"/>
      <c r="AO405" s="99">
        <f>IF(OR(AM405="",AN405=""),0,IFERROR(INDEX(#REF!,MATCH(AM405,#REF!,0))*AN405,0))</f>
        <v>0</v>
      </c>
      <c r="AP405" s="7"/>
      <c r="AQ405" s="74"/>
      <c r="AR405" s="99">
        <f>IF(OR(AP405="",AQ405=""),0,IFERROR(INDEX(#REF!,MATCH(AP405,#REF!,0))*AQ405,0))</f>
        <v>0</v>
      </c>
      <c r="AS405" s="7"/>
      <c r="AT405" s="74"/>
      <c r="AU405" s="99">
        <f>IF(OR(AS405="",AT405=""),0,IFERROR(INDEX(#REF!,MATCH(AS405,#REF!,0))*AT405,0))</f>
        <v>0</v>
      </c>
      <c r="AV405" s="7"/>
      <c r="AW405" s="74"/>
      <c r="AX405" s="99">
        <f>IF(OR(AV405="",AW405=""),0,IFERROR(INDEX(#REF!,MATCH(AV405,#REF!,0))*AW405,0))</f>
        <v>0</v>
      </c>
      <c r="AY405" s="7"/>
      <c r="AZ405" s="77"/>
      <c r="BA405" s="99">
        <f>IF(OR(AY405="",AZ405=""),0,IFERROR(INDEX(#REF!,MATCH(AY405,#REF!,0))*AZ405,0))</f>
        <v>0</v>
      </c>
      <c r="BB405" s="100">
        <f t="shared" si="61"/>
        <v>0</v>
      </c>
      <c r="BC405" s="110" t="str">
        <f t="shared" si="62"/>
        <v/>
      </c>
      <c r="BD405" s="62"/>
    </row>
    <row r="406" spans="1:56" ht="19.5" customHeight="1" x14ac:dyDescent="0.45">
      <c r="A406" s="104" t="str">
        <f t="shared" si="63"/>
        <v/>
      </c>
      <c r="B406" s="5"/>
      <c r="C406" s="109"/>
      <c r="D406" s="107"/>
      <c r="E406" s="6"/>
      <c r="F406" s="85"/>
      <c r="G406" s="85"/>
      <c r="H406" s="104" t="str">
        <f t="shared" si="55"/>
        <v/>
      </c>
      <c r="I406" s="103" t="str">
        <f>IFERROR(INDEX(#REF!,MATCH(E406,#REF!,0)),"")</f>
        <v/>
      </c>
      <c r="J406" s="6"/>
      <c r="K406" s="103" t="str">
        <f t="shared" si="56"/>
        <v/>
      </c>
      <c r="L406" s="8"/>
      <c r="M406" s="102" t="str">
        <f t="shared" si="57"/>
        <v/>
      </c>
      <c r="N406" s="9"/>
      <c r="O406" s="103" t="str">
        <f t="shared" si="58"/>
        <v/>
      </c>
      <c r="P406" s="6"/>
      <c r="Q406" s="7"/>
      <c r="R406" s="10"/>
      <c r="S406" s="29" t="str">
        <f t="shared" ca="1" si="59"/>
        <v/>
      </c>
      <c r="T406" s="7"/>
      <c r="U406" s="74"/>
      <c r="V406" s="101">
        <f>IF(OR(T406="",U406=""),0,IFERROR(INDEX(#REF!,MATCH(T406,#REF!,0))*U406,0))</f>
        <v>0</v>
      </c>
      <c r="W406" s="7"/>
      <c r="X406" s="74"/>
      <c r="Y406" s="101">
        <f>IF(OR(W406="",X406=""),0,IFERROR(INDEX(#REF!,MATCH(W406,#REF!,0))*X406,0))</f>
        <v>0</v>
      </c>
      <c r="Z406" s="7"/>
      <c r="AA406" s="74"/>
      <c r="AB406" s="101">
        <f>IF(OR(Z406="",AA406=""),0,IFERROR(INDEX(#REF!,MATCH(Z406,#REF!,0))*AA406,0))</f>
        <v>0</v>
      </c>
      <c r="AC406" s="7"/>
      <c r="AD406" s="74"/>
      <c r="AE406" s="101">
        <f>IF(OR(AC406="",AD406=""),0,IFERROR(INDEX(#REF!,MATCH(AC406,#REF!,0))*AD406,0))</f>
        <v>0</v>
      </c>
      <c r="AF406" s="7"/>
      <c r="AG406" s="74"/>
      <c r="AH406" s="101">
        <f>IF(OR(AF406="",AG406=""),0,IFERROR(INDEX(#REF!,MATCH(AF406,#REF!,0))*AG406,0))</f>
        <v>0</v>
      </c>
      <c r="AI406" s="7"/>
      <c r="AJ406" s="74"/>
      <c r="AK406" s="101">
        <f>IF(OR(AI406="",AJ406=""),0,IFERROR(INDEX(#REF!,MATCH(AI406,#REF!,0))*AJ406,0))</f>
        <v>0</v>
      </c>
      <c r="AL406" s="101">
        <f t="shared" si="60"/>
        <v>0</v>
      </c>
      <c r="AM406" s="7"/>
      <c r="AN406" s="72"/>
      <c r="AO406" s="99">
        <f>IF(OR(AM406="",AN406=""),0,IFERROR(INDEX(#REF!,MATCH(AM406,#REF!,0))*AN406,0))</f>
        <v>0</v>
      </c>
      <c r="AP406" s="7"/>
      <c r="AQ406" s="74"/>
      <c r="AR406" s="99">
        <f>IF(OR(AP406="",AQ406=""),0,IFERROR(INDEX(#REF!,MATCH(AP406,#REF!,0))*AQ406,0))</f>
        <v>0</v>
      </c>
      <c r="AS406" s="7"/>
      <c r="AT406" s="74"/>
      <c r="AU406" s="99">
        <f>IF(OR(AS406="",AT406=""),0,IFERROR(INDEX(#REF!,MATCH(AS406,#REF!,0))*AT406,0))</f>
        <v>0</v>
      </c>
      <c r="AV406" s="7"/>
      <c r="AW406" s="74"/>
      <c r="AX406" s="99">
        <f>IF(OR(AV406="",AW406=""),0,IFERROR(INDEX(#REF!,MATCH(AV406,#REF!,0))*AW406,0))</f>
        <v>0</v>
      </c>
      <c r="AY406" s="7"/>
      <c r="AZ406" s="77"/>
      <c r="BA406" s="99">
        <f>IF(OR(AY406="",AZ406=""),0,IFERROR(INDEX(#REF!,MATCH(AY406,#REF!,0))*AZ406,0))</f>
        <v>0</v>
      </c>
      <c r="BB406" s="100">
        <f t="shared" si="61"/>
        <v>0</v>
      </c>
      <c r="BC406" s="110" t="str">
        <f t="shared" si="62"/>
        <v/>
      </c>
      <c r="BD406" s="62"/>
    </row>
    <row r="407" spans="1:56" ht="19.5" customHeight="1" x14ac:dyDescent="0.45">
      <c r="A407" s="104" t="str">
        <f t="shared" si="63"/>
        <v/>
      </c>
      <c r="B407" s="5"/>
      <c r="C407" s="109"/>
      <c r="D407" s="107"/>
      <c r="E407" s="6"/>
      <c r="F407" s="85"/>
      <c r="G407" s="85"/>
      <c r="H407" s="104" t="str">
        <f t="shared" si="55"/>
        <v/>
      </c>
      <c r="I407" s="103" t="str">
        <f>IFERROR(INDEX(#REF!,MATCH(E407,#REF!,0)),"")</f>
        <v/>
      </c>
      <c r="J407" s="6"/>
      <c r="K407" s="103" t="str">
        <f t="shared" si="56"/>
        <v/>
      </c>
      <c r="L407" s="8"/>
      <c r="M407" s="102" t="str">
        <f t="shared" si="57"/>
        <v/>
      </c>
      <c r="N407" s="9"/>
      <c r="O407" s="103" t="str">
        <f t="shared" si="58"/>
        <v/>
      </c>
      <c r="P407" s="6"/>
      <c r="Q407" s="7"/>
      <c r="R407" s="10"/>
      <c r="S407" s="29" t="str">
        <f t="shared" ca="1" si="59"/>
        <v/>
      </c>
      <c r="T407" s="7"/>
      <c r="U407" s="74"/>
      <c r="V407" s="101">
        <f>IF(OR(T407="",U407=""),0,IFERROR(INDEX(#REF!,MATCH(T407,#REF!,0))*U407,0))</f>
        <v>0</v>
      </c>
      <c r="W407" s="7"/>
      <c r="X407" s="74"/>
      <c r="Y407" s="101">
        <f>IF(OR(W407="",X407=""),0,IFERROR(INDEX(#REF!,MATCH(W407,#REF!,0))*X407,0))</f>
        <v>0</v>
      </c>
      <c r="Z407" s="7"/>
      <c r="AA407" s="74"/>
      <c r="AB407" s="101">
        <f>IF(OR(Z407="",AA407=""),0,IFERROR(INDEX(#REF!,MATCH(Z407,#REF!,0))*AA407,0))</f>
        <v>0</v>
      </c>
      <c r="AC407" s="7"/>
      <c r="AD407" s="74"/>
      <c r="AE407" s="101">
        <f>IF(OR(AC407="",AD407=""),0,IFERROR(INDEX(#REF!,MATCH(AC407,#REF!,0))*AD407,0))</f>
        <v>0</v>
      </c>
      <c r="AF407" s="7"/>
      <c r="AG407" s="74"/>
      <c r="AH407" s="101">
        <f>IF(OR(AF407="",AG407=""),0,IFERROR(INDEX(#REF!,MATCH(AF407,#REF!,0))*AG407,0))</f>
        <v>0</v>
      </c>
      <c r="AI407" s="7"/>
      <c r="AJ407" s="74"/>
      <c r="AK407" s="101">
        <f>IF(OR(AI407="",AJ407=""),0,IFERROR(INDEX(#REF!,MATCH(AI407,#REF!,0))*AJ407,0))</f>
        <v>0</v>
      </c>
      <c r="AL407" s="101">
        <f t="shared" si="60"/>
        <v>0</v>
      </c>
      <c r="AM407" s="7"/>
      <c r="AN407" s="72"/>
      <c r="AO407" s="99">
        <f>IF(OR(AM407="",AN407=""),0,IFERROR(INDEX(#REF!,MATCH(AM407,#REF!,0))*AN407,0))</f>
        <v>0</v>
      </c>
      <c r="AP407" s="7"/>
      <c r="AQ407" s="74"/>
      <c r="AR407" s="99">
        <f>IF(OR(AP407="",AQ407=""),0,IFERROR(INDEX(#REF!,MATCH(AP407,#REF!,0))*AQ407,0))</f>
        <v>0</v>
      </c>
      <c r="AS407" s="7"/>
      <c r="AT407" s="74"/>
      <c r="AU407" s="99">
        <f>IF(OR(AS407="",AT407=""),0,IFERROR(INDEX(#REF!,MATCH(AS407,#REF!,0))*AT407,0))</f>
        <v>0</v>
      </c>
      <c r="AV407" s="7"/>
      <c r="AW407" s="74"/>
      <c r="AX407" s="99">
        <f>IF(OR(AV407="",AW407=""),0,IFERROR(INDEX(#REF!,MATCH(AV407,#REF!,0))*AW407,0))</f>
        <v>0</v>
      </c>
      <c r="AY407" s="7"/>
      <c r="AZ407" s="77"/>
      <c r="BA407" s="99">
        <f>IF(OR(AY407="",AZ407=""),0,IFERROR(INDEX(#REF!,MATCH(AY407,#REF!,0))*AZ407,0))</f>
        <v>0</v>
      </c>
      <c r="BB407" s="100">
        <f t="shared" si="61"/>
        <v>0</v>
      </c>
      <c r="BC407" s="110" t="str">
        <f t="shared" si="62"/>
        <v/>
      </c>
      <c r="BD407" s="62"/>
    </row>
    <row r="408" spans="1:56" ht="19.5" customHeight="1" x14ac:dyDescent="0.45">
      <c r="A408" s="104" t="str">
        <f t="shared" si="63"/>
        <v/>
      </c>
      <c r="B408" s="5"/>
      <c r="C408" s="109"/>
      <c r="D408" s="107"/>
      <c r="E408" s="6"/>
      <c r="F408" s="85"/>
      <c r="G408" s="85"/>
      <c r="H408" s="104" t="str">
        <f t="shared" si="55"/>
        <v/>
      </c>
      <c r="I408" s="103" t="str">
        <f>IFERROR(INDEX(#REF!,MATCH(E408,#REF!,0)),"")</f>
        <v/>
      </c>
      <c r="J408" s="6"/>
      <c r="K408" s="103" t="str">
        <f t="shared" si="56"/>
        <v/>
      </c>
      <c r="L408" s="8"/>
      <c r="M408" s="102" t="str">
        <f t="shared" si="57"/>
        <v/>
      </c>
      <c r="N408" s="9"/>
      <c r="O408" s="103" t="str">
        <f t="shared" si="58"/>
        <v/>
      </c>
      <c r="P408" s="6"/>
      <c r="Q408" s="7"/>
      <c r="R408" s="10"/>
      <c r="S408" s="29" t="str">
        <f t="shared" ca="1" si="59"/>
        <v/>
      </c>
      <c r="T408" s="7"/>
      <c r="U408" s="74"/>
      <c r="V408" s="101">
        <f>IF(OR(T408="",U408=""),0,IFERROR(INDEX(#REF!,MATCH(T408,#REF!,0))*U408,0))</f>
        <v>0</v>
      </c>
      <c r="W408" s="7"/>
      <c r="X408" s="74"/>
      <c r="Y408" s="101">
        <f>IF(OR(W408="",X408=""),0,IFERROR(INDEX(#REF!,MATCH(W408,#REF!,0))*X408,0))</f>
        <v>0</v>
      </c>
      <c r="Z408" s="7"/>
      <c r="AA408" s="74"/>
      <c r="AB408" s="101">
        <f>IF(OR(Z408="",AA408=""),0,IFERROR(INDEX(#REF!,MATCH(Z408,#REF!,0))*AA408,0))</f>
        <v>0</v>
      </c>
      <c r="AC408" s="7"/>
      <c r="AD408" s="74"/>
      <c r="AE408" s="101">
        <f>IF(OR(AC408="",AD408=""),0,IFERROR(INDEX(#REF!,MATCH(AC408,#REF!,0))*AD408,0))</f>
        <v>0</v>
      </c>
      <c r="AF408" s="7"/>
      <c r="AG408" s="74"/>
      <c r="AH408" s="101">
        <f>IF(OR(AF408="",AG408=""),0,IFERROR(INDEX(#REF!,MATCH(AF408,#REF!,0))*AG408,0))</f>
        <v>0</v>
      </c>
      <c r="AI408" s="7"/>
      <c r="AJ408" s="74"/>
      <c r="AK408" s="101">
        <f>IF(OR(AI408="",AJ408=""),0,IFERROR(INDEX(#REF!,MATCH(AI408,#REF!,0))*AJ408,0))</f>
        <v>0</v>
      </c>
      <c r="AL408" s="101">
        <f t="shared" si="60"/>
        <v>0</v>
      </c>
      <c r="AM408" s="7"/>
      <c r="AN408" s="72"/>
      <c r="AO408" s="99">
        <f>IF(OR(AM408="",AN408=""),0,IFERROR(INDEX(#REF!,MATCH(AM408,#REF!,0))*AN408,0))</f>
        <v>0</v>
      </c>
      <c r="AP408" s="7"/>
      <c r="AQ408" s="74"/>
      <c r="AR408" s="99">
        <f>IF(OR(AP408="",AQ408=""),0,IFERROR(INDEX(#REF!,MATCH(AP408,#REF!,0))*AQ408,0))</f>
        <v>0</v>
      </c>
      <c r="AS408" s="7"/>
      <c r="AT408" s="74"/>
      <c r="AU408" s="99">
        <f>IF(OR(AS408="",AT408=""),0,IFERROR(INDEX(#REF!,MATCH(AS408,#REF!,0))*AT408,0))</f>
        <v>0</v>
      </c>
      <c r="AV408" s="7"/>
      <c r="AW408" s="74"/>
      <c r="AX408" s="99">
        <f>IF(OR(AV408="",AW408=""),0,IFERROR(INDEX(#REF!,MATCH(AV408,#REF!,0))*AW408,0))</f>
        <v>0</v>
      </c>
      <c r="AY408" s="7"/>
      <c r="AZ408" s="77"/>
      <c r="BA408" s="99">
        <f>IF(OR(AY408="",AZ408=""),0,IFERROR(INDEX(#REF!,MATCH(AY408,#REF!,0))*AZ408,0))</f>
        <v>0</v>
      </c>
      <c r="BB408" s="100">
        <f t="shared" si="61"/>
        <v>0</v>
      </c>
      <c r="BC408" s="110" t="str">
        <f t="shared" si="62"/>
        <v/>
      </c>
      <c r="BD408" s="62"/>
    </row>
    <row r="409" spans="1:56" ht="19.5" customHeight="1" x14ac:dyDescent="0.45">
      <c r="A409" s="104" t="str">
        <f t="shared" si="63"/>
        <v/>
      </c>
      <c r="B409" s="5"/>
      <c r="C409" s="109"/>
      <c r="D409" s="107"/>
      <c r="E409" s="6"/>
      <c r="F409" s="85"/>
      <c r="G409" s="85"/>
      <c r="H409" s="104" t="str">
        <f t="shared" si="55"/>
        <v/>
      </c>
      <c r="I409" s="103" t="str">
        <f>IFERROR(INDEX(#REF!,MATCH(E409,#REF!,0)),"")</f>
        <v/>
      </c>
      <c r="J409" s="6"/>
      <c r="K409" s="103" t="str">
        <f t="shared" si="56"/>
        <v/>
      </c>
      <c r="L409" s="8"/>
      <c r="M409" s="102" t="str">
        <f t="shared" si="57"/>
        <v/>
      </c>
      <c r="N409" s="9"/>
      <c r="O409" s="103" t="str">
        <f t="shared" si="58"/>
        <v/>
      </c>
      <c r="P409" s="6"/>
      <c r="Q409" s="7"/>
      <c r="R409" s="10"/>
      <c r="S409" s="29" t="str">
        <f t="shared" ca="1" si="59"/>
        <v/>
      </c>
      <c r="T409" s="7"/>
      <c r="U409" s="74"/>
      <c r="V409" s="101">
        <f>IF(OR(T409="",U409=""),0,IFERROR(INDEX(#REF!,MATCH(T409,#REF!,0))*U409,0))</f>
        <v>0</v>
      </c>
      <c r="W409" s="7"/>
      <c r="X409" s="74"/>
      <c r="Y409" s="101">
        <f>IF(OR(W409="",X409=""),0,IFERROR(INDEX(#REF!,MATCH(W409,#REF!,0))*X409,0))</f>
        <v>0</v>
      </c>
      <c r="Z409" s="7"/>
      <c r="AA409" s="74"/>
      <c r="AB409" s="101">
        <f>IF(OR(Z409="",AA409=""),0,IFERROR(INDEX(#REF!,MATCH(Z409,#REF!,0))*AA409,0))</f>
        <v>0</v>
      </c>
      <c r="AC409" s="7"/>
      <c r="AD409" s="74"/>
      <c r="AE409" s="101">
        <f>IF(OR(AC409="",AD409=""),0,IFERROR(INDEX(#REF!,MATCH(AC409,#REF!,0))*AD409,0))</f>
        <v>0</v>
      </c>
      <c r="AF409" s="7"/>
      <c r="AG409" s="74"/>
      <c r="AH409" s="101">
        <f>IF(OR(AF409="",AG409=""),0,IFERROR(INDEX(#REF!,MATCH(AF409,#REF!,0))*AG409,0))</f>
        <v>0</v>
      </c>
      <c r="AI409" s="7"/>
      <c r="AJ409" s="74"/>
      <c r="AK409" s="101">
        <f>IF(OR(AI409="",AJ409=""),0,IFERROR(INDEX(#REF!,MATCH(AI409,#REF!,0))*AJ409,0))</f>
        <v>0</v>
      </c>
      <c r="AL409" s="101">
        <f t="shared" si="60"/>
        <v>0</v>
      </c>
      <c r="AM409" s="7"/>
      <c r="AN409" s="72"/>
      <c r="AO409" s="99">
        <f>IF(OR(AM409="",AN409=""),0,IFERROR(INDEX(#REF!,MATCH(AM409,#REF!,0))*AN409,0))</f>
        <v>0</v>
      </c>
      <c r="AP409" s="7"/>
      <c r="AQ409" s="74"/>
      <c r="AR409" s="99">
        <f>IF(OR(AP409="",AQ409=""),0,IFERROR(INDEX(#REF!,MATCH(AP409,#REF!,0))*AQ409,0))</f>
        <v>0</v>
      </c>
      <c r="AS409" s="7"/>
      <c r="AT409" s="74"/>
      <c r="AU409" s="99">
        <f>IF(OR(AS409="",AT409=""),0,IFERROR(INDEX(#REF!,MATCH(AS409,#REF!,0))*AT409,0))</f>
        <v>0</v>
      </c>
      <c r="AV409" s="7"/>
      <c r="AW409" s="74"/>
      <c r="AX409" s="99">
        <f>IF(OR(AV409="",AW409=""),0,IFERROR(INDEX(#REF!,MATCH(AV409,#REF!,0))*AW409,0))</f>
        <v>0</v>
      </c>
      <c r="AY409" s="7"/>
      <c r="AZ409" s="77"/>
      <c r="BA409" s="99">
        <f>IF(OR(AY409="",AZ409=""),0,IFERROR(INDEX(#REF!,MATCH(AY409,#REF!,0))*AZ409,0))</f>
        <v>0</v>
      </c>
      <c r="BB409" s="100">
        <f t="shared" si="61"/>
        <v>0</v>
      </c>
      <c r="BC409" s="110" t="str">
        <f t="shared" si="62"/>
        <v/>
      </c>
      <c r="BD409" s="62"/>
    </row>
    <row r="410" spans="1:56" ht="19.5" customHeight="1" x14ac:dyDescent="0.45">
      <c r="A410" s="104" t="str">
        <f t="shared" si="63"/>
        <v/>
      </c>
      <c r="B410" s="5"/>
      <c r="C410" s="109"/>
      <c r="D410" s="107"/>
      <c r="E410" s="6"/>
      <c r="F410" s="85"/>
      <c r="G410" s="85"/>
      <c r="H410" s="104" t="str">
        <f t="shared" si="55"/>
        <v/>
      </c>
      <c r="I410" s="103" t="str">
        <f>IFERROR(INDEX(#REF!,MATCH(E410,#REF!,0)),"")</f>
        <v/>
      </c>
      <c r="J410" s="6"/>
      <c r="K410" s="103" t="str">
        <f t="shared" si="56"/>
        <v/>
      </c>
      <c r="L410" s="8"/>
      <c r="M410" s="102" t="str">
        <f t="shared" si="57"/>
        <v/>
      </c>
      <c r="N410" s="9"/>
      <c r="O410" s="103" t="str">
        <f t="shared" si="58"/>
        <v/>
      </c>
      <c r="P410" s="6"/>
      <c r="Q410" s="7"/>
      <c r="R410" s="10"/>
      <c r="S410" s="29" t="str">
        <f t="shared" ca="1" si="59"/>
        <v/>
      </c>
      <c r="T410" s="7"/>
      <c r="U410" s="74"/>
      <c r="V410" s="101">
        <f>IF(OR(T410="",U410=""),0,IFERROR(INDEX(#REF!,MATCH(T410,#REF!,0))*U410,0))</f>
        <v>0</v>
      </c>
      <c r="W410" s="7"/>
      <c r="X410" s="74"/>
      <c r="Y410" s="101">
        <f>IF(OR(W410="",X410=""),0,IFERROR(INDEX(#REF!,MATCH(W410,#REF!,0))*X410,0))</f>
        <v>0</v>
      </c>
      <c r="Z410" s="7"/>
      <c r="AA410" s="74"/>
      <c r="AB410" s="101">
        <f>IF(OR(Z410="",AA410=""),0,IFERROR(INDEX(#REF!,MATCH(Z410,#REF!,0))*AA410,0))</f>
        <v>0</v>
      </c>
      <c r="AC410" s="7"/>
      <c r="AD410" s="74"/>
      <c r="AE410" s="101">
        <f>IF(OR(AC410="",AD410=""),0,IFERROR(INDEX(#REF!,MATCH(AC410,#REF!,0))*AD410,0))</f>
        <v>0</v>
      </c>
      <c r="AF410" s="7"/>
      <c r="AG410" s="74"/>
      <c r="AH410" s="101">
        <f>IF(OR(AF410="",AG410=""),0,IFERROR(INDEX(#REF!,MATCH(AF410,#REF!,0))*AG410,0))</f>
        <v>0</v>
      </c>
      <c r="AI410" s="7"/>
      <c r="AJ410" s="74"/>
      <c r="AK410" s="101">
        <f>IF(OR(AI410="",AJ410=""),0,IFERROR(INDEX(#REF!,MATCH(AI410,#REF!,0))*AJ410,0))</f>
        <v>0</v>
      </c>
      <c r="AL410" s="101">
        <f t="shared" si="60"/>
        <v>0</v>
      </c>
      <c r="AM410" s="7"/>
      <c r="AN410" s="72"/>
      <c r="AO410" s="99">
        <f>IF(OR(AM410="",AN410=""),0,IFERROR(INDEX(#REF!,MATCH(AM410,#REF!,0))*AN410,0))</f>
        <v>0</v>
      </c>
      <c r="AP410" s="7"/>
      <c r="AQ410" s="74"/>
      <c r="AR410" s="99">
        <f>IF(OR(AP410="",AQ410=""),0,IFERROR(INDEX(#REF!,MATCH(AP410,#REF!,0))*AQ410,0))</f>
        <v>0</v>
      </c>
      <c r="AS410" s="7"/>
      <c r="AT410" s="74"/>
      <c r="AU410" s="99">
        <f>IF(OR(AS410="",AT410=""),0,IFERROR(INDEX(#REF!,MATCH(AS410,#REF!,0))*AT410,0))</f>
        <v>0</v>
      </c>
      <c r="AV410" s="7"/>
      <c r="AW410" s="74"/>
      <c r="AX410" s="99">
        <f>IF(OR(AV410="",AW410=""),0,IFERROR(INDEX(#REF!,MATCH(AV410,#REF!,0))*AW410,0))</f>
        <v>0</v>
      </c>
      <c r="AY410" s="7"/>
      <c r="AZ410" s="77"/>
      <c r="BA410" s="99">
        <f>IF(OR(AY410="",AZ410=""),0,IFERROR(INDEX(#REF!,MATCH(AY410,#REF!,0))*AZ410,0))</f>
        <v>0</v>
      </c>
      <c r="BB410" s="100">
        <f t="shared" si="61"/>
        <v>0</v>
      </c>
      <c r="BC410" s="110" t="str">
        <f t="shared" si="62"/>
        <v/>
      </c>
      <c r="BD410" s="62"/>
    </row>
    <row r="411" spans="1:56" ht="19.5" customHeight="1" x14ac:dyDescent="0.45">
      <c r="A411" s="104" t="str">
        <f t="shared" si="63"/>
        <v/>
      </c>
      <c r="B411" s="5"/>
      <c r="C411" s="109"/>
      <c r="D411" s="107"/>
      <c r="E411" s="6"/>
      <c r="F411" s="85"/>
      <c r="G411" s="85"/>
      <c r="H411" s="104" t="str">
        <f t="shared" si="55"/>
        <v/>
      </c>
      <c r="I411" s="103" t="str">
        <f>IFERROR(INDEX(#REF!,MATCH(E411,#REF!,0)),"")</f>
        <v/>
      </c>
      <c r="J411" s="6"/>
      <c r="K411" s="103" t="str">
        <f t="shared" si="56"/>
        <v/>
      </c>
      <c r="L411" s="8"/>
      <c r="M411" s="102" t="str">
        <f t="shared" si="57"/>
        <v/>
      </c>
      <c r="N411" s="9"/>
      <c r="O411" s="103" t="str">
        <f t="shared" si="58"/>
        <v/>
      </c>
      <c r="P411" s="6"/>
      <c r="Q411" s="7"/>
      <c r="R411" s="10"/>
      <c r="S411" s="29" t="str">
        <f t="shared" ca="1" si="59"/>
        <v/>
      </c>
      <c r="T411" s="7"/>
      <c r="U411" s="74"/>
      <c r="V411" s="101">
        <f>IF(OR(T411="",U411=""),0,IFERROR(INDEX(#REF!,MATCH(T411,#REF!,0))*U411,0))</f>
        <v>0</v>
      </c>
      <c r="W411" s="7"/>
      <c r="X411" s="74"/>
      <c r="Y411" s="101">
        <f>IF(OR(W411="",X411=""),0,IFERROR(INDEX(#REF!,MATCH(W411,#REF!,0))*X411,0))</f>
        <v>0</v>
      </c>
      <c r="Z411" s="7"/>
      <c r="AA411" s="74"/>
      <c r="AB411" s="101">
        <f>IF(OR(Z411="",AA411=""),0,IFERROR(INDEX(#REF!,MATCH(Z411,#REF!,0))*AA411,0))</f>
        <v>0</v>
      </c>
      <c r="AC411" s="7"/>
      <c r="AD411" s="74"/>
      <c r="AE411" s="101">
        <f>IF(OR(AC411="",AD411=""),0,IFERROR(INDEX(#REF!,MATCH(AC411,#REF!,0))*AD411,0))</f>
        <v>0</v>
      </c>
      <c r="AF411" s="7"/>
      <c r="AG411" s="74"/>
      <c r="AH411" s="101">
        <f>IF(OR(AF411="",AG411=""),0,IFERROR(INDEX(#REF!,MATCH(AF411,#REF!,0))*AG411,0))</f>
        <v>0</v>
      </c>
      <c r="AI411" s="7"/>
      <c r="AJ411" s="74"/>
      <c r="AK411" s="101">
        <f>IF(OR(AI411="",AJ411=""),0,IFERROR(INDEX(#REF!,MATCH(AI411,#REF!,0))*AJ411,0))</f>
        <v>0</v>
      </c>
      <c r="AL411" s="101">
        <f t="shared" si="60"/>
        <v>0</v>
      </c>
      <c r="AM411" s="7"/>
      <c r="AN411" s="72"/>
      <c r="AO411" s="99">
        <f>IF(OR(AM411="",AN411=""),0,IFERROR(INDEX(#REF!,MATCH(AM411,#REF!,0))*AN411,0))</f>
        <v>0</v>
      </c>
      <c r="AP411" s="7"/>
      <c r="AQ411" s="74"/>
      <c r="AR411" s="99">
        <f>IF(OR(AP411="",AQ411=""),0,IFERROR(INDEX(#REF!,MATCH(AP411,#REF!,0))*AQ411,0))</f>
        <v>0</v>
      </c>
      <c r="AS411" s="7"/>
      <c r="AT411" s="74"/>
      <c r="AU411" s="99">
        <f>IF(OR(AS411="",AT411=""),0,IFERROR(INDEX(#REF!,MATCH(AS411,#REF!,0))*AT411,0))</f>
        <v>0</v>
      </c>
      <c r="AV411" s="7"/>
      <c r="AW411" s="74"/>
      <c r="AX411" s="99">
        <f>IF(OR(AV411="",AW411=""),0,IFERROR(INDEX(#REF!,MATCH(AV411,#REF!,0))*AW411,0))</f>
        <v>0</v>
      </c>
      <c r="AY411" s="7"/>
      <c r="AZ411" s="77"/>
      <c r="BA411" s="99">
        <f>IF(OR(AY411="",AZ411=""),0,IFERROR(INDEX(#REF!,MATCH(AY411,#REF!,0))*AZ411,0))</f>
        <v>0</v>
      </c>
      <c r="BB411" s="100">
        <f t="shared" si="61"/>
        <v>0</v>
      </c>
      <c r="BC411" s="110" t="str">
        <f t="shared" si="62"/>
        <v/>
      </c>
      <c r="BD411" s="62"/>
    </row>
    <row r="412" spans="1:56" ht="19.5" customHeight="1" x14ac:dyDescent="0.45">
      <c r="A412" s="104" t="str">
        <f t="shared" si="63"/>
        <v/>
      </c>
      <c r="B412" s="5"/>
      <c r="C412" s="109"/>
      <c r="D412" s="107"/>
      <c r="E412" s="6"/>
      <c r="F412" s="85"/>
      <c r="G412" s="85"/>
      <c r="H412" s="104" t="str">
        <f t="shared" si="55"/>
        <v/>
      </c>
      <c r="I412" s="103" t="str">
        <f>IFERROR(INDEX(#REF!,MATCH(E412,#REF!,0)),"")</f>
        <v/>
      </c>
      <c r="J412" s="6"/>
      <c r="K412" s="103" t="str">
        <f t="shared" si="56"/>
        <v/>
      </c>
      <c r="L412" s="8"/>
      <c r="M412" s="102" t="str">
        <f t="shared" si="57"/>
        <v/>
      </c>
      <c r="N412" s="9"/>
      <c r="O412" s="103" t="str">
        <f t="shared" si="58"/>
        <v/>
      </c>
      <c r="P412" s="6"/>
      <c r="Q412" s="7"/>
      <c r="R412" s="10"/>
      <c r="S412" s="29" t="str">
        <f t="shared" ca="1" si="59"/>
        <v/>
      </c>
      <c r="T412" s="7"/>
      <c r="U412" s="74"/>
      <c r="V412" s="101">
        <f>IF(OR(T412="",U412=""),0,IFERROR(INDEX(#REF!,MATCH(T412,#REF!,0))*U412,0))</f>
        <v>0</v>
      </c>
      <c r="W412" s="7"/>
      <c r="X412" s="74"/>
      <c r="Y412" s="101">
        <f>IF(OR(W412="",X412=""),0,IFERROR(INDEX(#REF!,MATCH(W412,#REF!,0))*X412,0))</f>
        <v>0</v>
      </c>
      <c r="Z412" s="7"/>
      <c r="AA412" s="74"/>
      <c r="AB412" s="101">
        <f>IF(OR(Z412="",AA412=""),0,IFERROR(INDEX(#REF!,MATCH(Z412,#REF!,0))*AA412,0))</f>
        <v>0</v>
      </c>
      <c r="AC412" s="7"/>
      <c r="AD412" s="74"/>
      <c r="AE412" s="101">
        <f>IF(OR(AC412="",AD412=""),0,IFERROR(INDEX(#REF!,MATCH(AC412,#REF!,0))*AD412,0))</f>
        <v>0</v>
      </c>
      <c r="AF412" s="7"/>
      <c r="AG412" s="74"/>
      <c r="AH412" s="101">
        <f>IF(OR(AF412="",AG412=""),0,IFERROR(INDEX(#REF!,MATCH(AF412,#REF!,0))*AG412,0))</f>
        <v>0</v>
      </c>
      <c r="AI412" s="7"/>
      <c r="AJ412" s="74"/>
      <c r="AK412" s="101">
        <f>IF(OR(AI412="",AJ412=""),0,IFERROR(INDEX(#REF!,MATCH(AI412,#REF!,0))*AJ412,0))</f>
        <v>0</v>
      </c>
      <c r="AL412" s="101">
        <f t="shared" si="60"/>
        <v>0</v>
      </c>
      <c r="AM412" s="7"/>
      <c r="AN412" s="72"/>
      <c r="AO412" s="99">
        <f>IF(OR(AM412="",AN412=""),0,IFERROR(INDEX(#REF!,MATCH(AM412,#REF!,0))*AN412,0))</f>
        <v>0</v>
      </c>
      <c r="AP412" s="7"/>
      <c r="AQ412" s="74"/>
      <c r="AR412" s="99">
        <f>IF(OR(AP412="",AQ412=""),0,IFERROR(INDEX(#REF!,MATCH(AP412,#REF!,0))*AQ412,0))</f>
        <v>0</v>
      </c>
      <c r="AS412" s="7"/>
      <c r="AT412" s="74"/>
      <c r="AU412" s="99">
        <f>IF(OR(AS412="",AT412=""),0,IFERROR(INDEX(#REF!,MATCH(AS412,#REF!,0))*AT412,0))</f>
        <v>0</v>
      </c>
      <c r="AV412" s="7"/>
      <c r="AW412" s="74"/>
      <c r="AX412" s="99">
        <f>IF(OR(AV412="",AW412=""),0,IFERROR(INDEX(#REF!,MATCH(AV412,#REF!,0))*AW412,0))</f>
        <v>0</v>
      </c>
      <c r="AY412" s="7"/>
      <c r="AZ412" s="77"/>
      <c r="BA412" s="99">
        <f>IF(OR(AY412="",AZ412=""),0,IFERROR(INDEX(#REF!,MATCH(AY412,#REF!,0))*AZ412,0))</f>
        <v>0</v>
      </c>
      <c r="BB412" s="100">
        <f t="shared" si="61"/>
        <v>0</v>
      </c>
      <c r="BC412" s="110" t="str">
        <f t="shared" si="62"/>
        <v/>
      </c>
      <c r="BD412" s="62"/>
    </row>
    <row r="413" spans="1:56" ht="19.5" customHeight="1" x14ac:dyDescent="0.45">
      <c r="A413" s="104" t="str">
        <f t="shared" si="63"/>
        <v/>
      </c>
      <c r="B413" s="5"/>
      <c r="C413" s="109"/>
      <c r="D413" s="107"/>
      <c r="E413" s="6"/>
      <c r="F413" s="85"/>
      <c r="G413" s="85"/>
      <c r="H413" s="104" t="str">
        <f t="shared" si="55"/>
        <v/>
      </c>
      <c r="I413" s="103" t="str">
        <f>IFERROR(INDEX(#REF!,MATCH(E413,#REF!,0)),"")</f>
        <v/>
      </c>
      <c r="J413" s="6"/>
      <c r="K413" s="103" t="str">
        <f t="shared" si="56"/>
        <v/>
      </c>
      <c r="L413" s="8"/>
      <c r="M413" s="102" t="str">
        <f t="shared" si="57"/>
        <v/>
      </c>
      <c r="N413" s="9"/>
      <c r="O413" s="103" t="str">
        <f t="shared" si="58"/>
        <v/>
      </c>
      <c r="P413" s="6"/>
      <c r="Q413" s="7"/>
      <c r="R413" s="10"/>
      <c r="S413" s="29" t="str">
        <f t="shared" ca="1" si="59"/>
        <v/>
      </c>
      <c r="T413" s="7"/>
      <c r="U413" s="74"/>
      <c r="V413" s="101">
        <f>IF(OR(T413="",U413=""),0,IFERROR(INDEX(#REF!,MATCH(T413,#REF!,0))*U413,0))</f>
        <v>0</v>
      </c>
      <c r="W413" s="7"/>
      <c r="X413" s="74"/>
      <c r="Y413" s="101">
        <f>IF(OR(W413="",X413=""),0,IFERROR(INDEX(#REF!,MATCH(W413,#REF!,0))*X413,0))</f>
        <v>0</v>
      </c>
      <c r="Z413" s="7"/>
      <c r="AA413" s="74"/>
      <c r="AB413" s="101">
        <f>IF(OR(Z413="",AA413=""),0,IFERROR(INDEX(#REF!,MATCH(Z413,#REF!,0))*AA413,0))</f>
        <v>0</v>
      </c>
      <c r="AC413" s="7"/>
      <c r="AD413" s="74"/>
      <c r="AE413" s="101">
        <f>IF(OR(AC413="",AD413=""),0,IFERROR(INDEX(#REF!,MATCH(AC413,#REF!,0))*AD413,0))</f>
        <v>0</v>
      </c>
      <c r="AF413" s="7"/>
      <c r="AG413" s="74"/>
      <c r="AH413" s="101">
        <f>IF(OR(AF413="",AG413=""),0,IFERROR(INDEX(#REF!,MATCH(AF413,#REF!,0))*AG413,0))</f>
        <v>0</v>
      </c>
      <c r="AI413" s="7"/>
      <c r="AJ413" s="74"/>
      <c r="AK413" s="101">
        <f>IF(OR(AI413="",AJ413=""),0,IFERROR(INDEX(#REF!,MATCH(AI413,#REF!,0))*AJ413,0))</f>
        <v>0</v>
      </c>
      <c r="AL413" s="101">
        <f t="shared" si="60"/>
        <v>0</v>
      </c>
      <c r="AM413" s="7"/>
      <c r="AN413" s="72"/>
      <c r="AO413" s="99">
        <f>IF(OR(AM413="",AN413=""),0,IFERROR(INDEX(#REF!,MATCH(AM413,#REF!,0))*AN413,0))</f>
        <v>0</v>
      </c>
      <c r="AP413" s="7"/>
      <c r="AQ413" s="74"/>
      <c r="AR413" s="99">
        <f>IF(OR(AP413="",AQ413=""),0,IFERROR(INDEX(#REF!,MATCH(AP413,#REF!,0))*AQ413,0))</f>
        <v>0</v>
      </c>
      <c r="AS413" s="7"/>
      <c r="AT413" s="74"/>
      <c r="AU413" s="99">
        <f>IF(OR(AS413="",AT413=""),0,IFERROR(INDEX(#REF!,MATCH(AS413,#REF!,0))*AT413,0))</f>
        <v>0</v>
      </c>
      <c r="AV413" s="7"/>
      <c r="AW413" s="74"/>
      <c r="AX413" s="99">
        <f>IF(OR(AV413="",AW413=""),0,IFERROR(INDEX(#REF!,MATCH(AV413,#REF!,0))*AW413,0))</f>
        <v>0</v>
      </c>
      <c r="AY413" s="7"/>
      <c r="AZ413" s="77"/>
      <c r="BA413" s="99">
        <f>IF(OR(AY413="",AZ413=""),0,IFERROR(INDEX(#REF!,MATCH(AY413,#REF!,0))*AZ413,0))</f>
        <v>0</v>
      </c>
      <c r="BB413" s="100">
        <f t="shared" si="61"/>
        <v>0</v>
      </c>
      <c r="BC413" s="110" t="str">
        <f t="shared" si="62"/>
        <v/>
      </c>
      <c r="BD413" s="62"/>
    </row>
    <row r="414" spans="1:56" ht="19.5" customHeight="1" x14ac:dyDescent="0.45">
      <c r="A414" s="104" t="str">
        <f t="shared" si="63"/>
        <v/>
      </c>
      <c r="B414" s="5"/>
      <c r="C414" s="109"/>
      <c r="D414" s="107"/>
      <c r="E414" s="6"/>
      <c r="F414" s="85"/>
      <c r="G414" s="85"/>
      <c r="H414" s="104" t="str">
        <f t="shared" si="55"/>
        <v/>
      </c>
      <c r="I414" s="103" t="str">
        <f>IFERROR(INDEX(#REF!,MATCH(E414,#REF!,0)),"")</f>
        <v/>
      </c>
      <c r="J414" s="6"/>
      <c r="K414" s="103" t="str">
        <f t="shared" si="56"/>
        <v/>
      </c>
      <c r="L414" s="8"/>
      <c r="M414" s="102" t="str">
        <f t="shared" si="57"/>
        <v/>
      </c>
      <c r="N414" s="9"/>
      <c r="O414" s="103" t="str">
        <f t="shared" si="58"/>
        <v/>
      </c>
      <c r="P414" s="6"/>
      <c r="Q414" s="7"/>
      <c r="R414" s="10"/>
      <c r="S414" s="29" t="str">
        <f t="shared" ca="1" si="59"/>
        <v/>
      </c>
      <c r="T414" s="7"/>
      <c r="U414" s="74"/>
      <c r="V414" s="101">
        <f>IF(OR(T414="",U414=""),0,IFERROR(INDEX(#REF!,MATCH(T414,#REF!,0))*U414,0))</f>
        <v>0</v>
      </c>
      <c r="W414" s="7"/>
      <c r="X414" s="74"/>
      <c r="Y414" s="101">
        <f>IF(OR(W414="",X414=""),0,IFERROR(INDEX(#REF!,MATCH(W414,#REF!,0))*X414,0))</f>
        <v>0</v>
      </c>
      <c r="Z414" s="7"/>
      <c r="AA414" s="74"/>
      <c r="AB414" s="101">
        <f>IF(OR(Z414="",AA414=""),0,IFERROR(INDEX(#REF!,MATCH(Z414,#REF!,0))*AA414,0))</f>
        <v>0</v>
      </c>
      <c r="AC414" s="7"/>
      <c r="AD414" s="74"/>
      <c r="AE414" s="101">
        <f>IF(OR(AC414="",AD414=""),0,IFERROR(INDEX(#REF!,MATCH(AC414,#REF!,0))*AD414,0))</f>
        <v>0</v>
      </c>
      <c r="AF414" s="7"/>
      <c r="AG414" s="74"/>
      <c r="AH414" s="101">
        <f>IF(OR(AF414="",AG414=""),0,IFERROR(INDEX(#REF!,MATCH(AF414,#REF!,0))*AG414,0))</f>
        <v>0</v>
      </c>
      <c r="AI414" s="7"/>
      <c r="AJ414" s="74"/>
      <c r="AK414" s="101">
        <f>IF(OR(AI414="",AJ414=""),0,IFERROR(INDEX(#REF!,MATCH(AI414,#REF!,0))*AJ414,0))</f>
        <v>0</v>
      </c>
      <c r="AL414" s="101">
        <f t="shared" si="60"/>
        <v>0</v>
      </c>
      <c r="AM414" s="7"/>
      <c r="AN414" s="72"/>
      <c r="AO414" s="99">
        <f>IF(OR(AM414="",AN414=""),0,IFERROR(INDEX(#REF!,MATCH(AM414,#REF!,0))*AN414,0))</f>
        <v>0</v>
      </c>
      <c r="AP414" s="7"/>
      <c r="AQ414" s="74"/>
      <c r="AR414" s="99">
        <f>IF(OR(AP414="",AQ414=""),0,IFERROR(INDEX(#REF!,MATCH(AP414,#REF!,0))*AQ414,0))</f>
        <v>0</v>
      </c>
      <c r="AS414" s="7"/>
      <c r="AT414" s="74"/>
      <c r="AU414" s="99">
        <f>IF(OR(AS414="",AT414=""),0,IFERROR(INDEX(#REF!,MATCH(AS414,#REF!,0))*AT414,0))</f>
        <v>0</v>
      </c>
      <c r="AV414" s="7"/>
      <c r="AW414" s="74"/>
      <c r="AX414" s="99">
        <f>IF(OR(AV414="",AW414=""),0,IFERROR(INDEX(#REF!,MATCH(AV414,#REF!,0))*AW414,0))</f>
        <v>0</v>
      </c>
      <c r="AY414" s="7"/>
      <c r="AZ414" s="77"/>
      <c r="BA414" s="99">
        <f>IF(OR(AY414="",AZ414=""),0,IFERROR(INDEX(#REF!,MATCH(AY414,#REF!,0))*AZ414,0))</f>
        <v>0</v>
      </c>
      <c r="BB414" s="100">
        <f t="shared" si="61"/>
        <v>0</v>
      </c>
      <c r="BC414" s="110" t="str">
        <f t="shared" si="62"/>
        <v/>
      </c>
      <c r="BD414" s="62"/>
    </row>
    <row r="415" spans="1:56" ht="19.5" customHeight="1" x14ac:dyDescent="0.45">
      <c r="A415" s="104" t="str">
        <f t="shared" si="63"/>
        <v/>
      </c>
      <c r="B415" s="5"/>
      <c r="C415" s="109"/>
      <c r="D415" s="107"/>
      <c r="E415" s="6"/>
      <c r="F415" s="85"/>
      <c r="G415" s="85"/>
      <c r="H415" s="104" t="str">
        <f t="shared" si="55"/>
        <v/>
      </c>
      <c r="I415" s="103" t="str">
        <f>IFERROR(INDEX(#REF!,MATCH(E415,#REF!,0)),"")</f>
        <v/>
      </c>
      <c r="J415" s="6"/>
      <c r="K415" s="103" t="str">
        <f t="shared" si="56"/>
        <v/>
      </c>
      <c r="L415" s="8"/>
      <c r="M415" s="102" t="str">
        <f t="shared" si="57"/>
        <v/>
      </c>
      <c r="N415" s="9"/>
      <c r="O415" s="103" t="str">
        <f t="shared" si="58"/>
        <v/>
      </c>
      <c r="P415" s="6"/>
      <c r="Q415" s="7"/>
      <c r="R415" s="10"/>
      <c r="S415" s="29" t="str">
        <f t="shared" ca="1" si="59"/>
        <v/>
      </c>
      <c r="T415" s="7"/>
      <c r="U415" s="74"/>
      <c r="V415" s="101">
        <f>IF(OR(T415="",U415=""),0,IFERROR(INDEX(#REF!,MATCH(T415,#REF!,0))*U415,0))</f>
        <v>0</v>
      </c>
      <c r="W415" s="7"/>
      <c r="X415" s="74"/>
      <c r="Y415" s="101">
        <f>IF(OR(W415="",X415=""),0,IFERROR(INDEX(#REF!,MATCH(W415,#REF!,0))*X415,0))</f>
        <v>0</v>
      </c>
      <c r="Z415" s="7"/>
      <c r="AA415" s="74"/>
      <c r="AB415" s="101">
        <f>IF(OR(Z415="",AA415=""),0,IFERROR(INDEX(#REF!,MATCH(Z415,#REF!,0))*AA415,0))</f>
        <v>0</v>
      </c>
      <c r="AC415" s="7"/>
      <c r="AD415" s="74"/>
      <c r="AE415" s="101">
        <f>IF(OR(AC415="",AD415=""),0,IFERROR(INDEX(#REF!,MATCH(AC415,#REF!,0))*AD415,0))</f>
        <v>0</v>
      </c>
      <c r="AF415" s="7"/>
      <c r="AG415" s="74"/>
      <c r="AH415" s="101">
        <f>IF(OR(AF415="",AG415=""),0,IFERROR(INDEX(#REF!,MATCH(AF415,#REF!,0))*AG415,0))</f>
        <v>0</v>
      </c>
      <c r="AI415" s="7"/>
      <c r="AJ415" s="74"/>
      <c r="AK415" s="101">
        <f>IF(OR(AI415="",AJ415=""),0,IFERROR(INDEX(#REF!,MATCH(AI415,#REF!,0))*AJ415,0))</f>
        <v>0</v>
      </c>
      <c r="AL415" s="101">
        <f t="shared" si="60"/>
        <v>0</v>
      </c>
      <c r="AM415" s="7"/>
      <c r="AN415" s="72"/>
      <c r="AO415" s="99">
        <f>IF(OR(AM415="",AN415=""),0,IFERROR(INDEX(#REF!,MATCH(AM415,#REF!,0))*AN415,0))</f>
        <v>0</v>
      </c>
      <c r="AP415" s="7"/>
      <c r="AQ415" s="74"/>
      <c r="AR415" s="99">
        <f>IF(OR(AP415="",AQ415=""),0,IFERROR(INDEX(#REF!,MATCH(AP415,#REF!,0))*AQ415,0))</f>
        <v>0</v>
      </c>
      <c r="AS415" s="7"/>
      <c r="AT415" s="74"/>
      <c r="AU415" s="99">
        <f>IF(OR(AS415="",AT415=""),0,IFERROR(INDEX(#REF!,MATCH(AS415,#REF!,0))*AT415,0))</f>
        <v>0</v>
      </c>
      <c r="AV415" s="7"/>
      <c r="AW415" s="74"/>
      <c r="AX415" s="99">
        <f>IF(OR(AV415="",AW415=""),0,IFERROR(INDEX(#REF!,MATCH(AV415,#REF!,0))*AW415,0))</f>
        <v>0</v>
      </c>
      <c r="AY415" s="7"/>
      <c r="AZ415" s="77"/>
      <c r="BA415" s="99">
        <f>IF(OR(AY415="",AZ415=""),0,IFERROR(INDEX(#REF!,MATCH(AY415,#REF!,0))*AZ415,0))</f>
        <v>0</v>
      </c>
      <c r="BB415" s="100">
        <f t="shared" si="61"/>
        <v>0</v>
      </c>
      <c r="BC415" s="110" t="str">
        <f t="shared" si="62"/>
        <v/>
      </c>
      <c r="BD415" s="62"/>
    </row>
    <row r="416" spans="1:56" ht="19.5" customHeight="1" x14ac:dyDescent="0.45">
      <c r="A416" s="104" t="str">
        <f t="shared" si="63"/>
        <v/>
      </c>
      <c r="B416" s="5"/>
      <c r="C416" s="109"/>
      <c r="D416" s="107"/>
      <c r="E416" s="6"/>
      <c r="F416" s="85"/>
      <c r="G416" s="85"/>
      <c r="H416" s="104" t="str">
        <f t="shared" si="55"/>
        <v/>
      </c>
      <c r="I416" s="103" t="str">
        <f>IFERROR(INDEX(#REF!,MATCH(E416,#REF!,0)),"")</f>
        <v/>
      </c>
      <c r="J416" s="6"/>
      <c r="K416" s="103" t="str">
        <f t="shared" si="56"/>
        <v/>
      </c>
      <c r="L416" s="8"/>
      <c r="M416" s="102" t="str">
        <f t="shared" si="57"/>
        <v/>
      </c>
      <c r="N416" s="9"/>
      <c r="O416" s="103" t="str">
        <f t="shared" si="58"/>
        <v/>
      </c>
      <c r="P416" s="6"/>
      <c r="Q416" s="7"/>
      <c r="R416" s="10"/>
      <c r="S416" s="29" t="str">
        <f t="shared" ca="1" si="59"/>
        <v/>
      </c>
      <c r="T416" s="7"/>
      <c r="U416" s="74"/>
      <c r="V416" s="101">
        <f>IF(OR(T416="",U416=""),0,IFERROR(INDEX(#REF!,MATCH(T416,#REF!,0))*U416,0))</f>
        <v>0</v>
      </c>
      <c r="W416" s="7"/>
      <c r="X416" s="74"/>
      <c r="Y416" s="101">
        <f>IF(OR(W416="",X416=""),0,IFERROR(INDEX(#REF!,MATCH(W416,#REF!,0))*X416,0))</f>
        <v>0</v>
      </c>
      <c r="Z416" s="7"/>
      <c r="AA416" s="74"/>
      <c r="AB416" s="101">
        <f>IF(OR(Z416="",AA416=""),0,IFERROR(INDEX(#REF!,MATCH(Z416,#REF!,0))*AA416,0))</f>
        <v>0</v>
      </c>
      <c r="AC416" s="7"/>
      <c r="AD416" s="74"/>
      <c r="AE416" s="101">
        <f>IF(OR(AC416="",AD416=""),0,IFERROR(INDEX(#REF!,MATCH(AC416,#REF!,0))*AD416,0))</f>
        <v>0</v>
      </c>
      <c r="AF416" s="7"/>
      <c r="AG416" s="74"/>
      <c r="AH416" s="101">
        <f>IF(OR(AF416="",AG416=""),0,IFERROR(INDEX(#REF!,MATCH(AF416,#REF!,0))*AG416,0))</f>
        <v>0</v>
      </c>
      <c r="AI416" s="7"/>
      <c r="AJ416" s="74"/>
      <c r="AK416" s="101">
        <f>IF(OR(AI416="",AJ416=""),0,IFERROR(INDEX(#REF!,MATCH(AI416,#REF!,0))*AJ416,0))</f>
        <v>0</v>
      </c>
      <c r="AL416" s="101">
        <f t="shared" si="60"/>
        <v>0</v>
      </c>
      <c r="AM416" s="7"/>
      <c r="AN416" s="72"/>
      <c r="AO416" s="99">
        <f>IF(OR(AM416="",AN416=""),0,IFERROR(INDEX(#REF!,MATCH(AM416,#REF!,0))*AN416,0))</f>
        <v>0</v>
      </c>
      <c r="AP416" s="7"/>
      <c r="AQ416" s="74"/>
      <c r="AR416" s="99">
        <f>IF(OR(AP416="",AQ416=""),0,IFERROR(INDEX(#REF!,MATCH(AP416,#REF!,0))*AQ416,0))</f>
        <v>0</v>
      </c>
      <c r="AS416" s="7"/>
      <c r="AT416" s="74"/>
      <c r="AU416" s="99">
        <f>IF(OR(AS416="",AT416=""),0,IFERROR(INDEX(#REF!,MATCH(AS416,#REF!,0))*AT416,0))</f>
        <v>0</v>
      </c>
      <c r="AV416" s="7"/>
      <c r="AW416" s="74"/>
      <c r="AX416" s="99">
        <f>IF(OR(AV416="",AW416=""),0,IFERROR(INDEX(#REF!,MATCH(AV416,#REF!,0))*AW416,0))</f>
        <v>0</v>
      </c>
      <c r="AY416" s="7"/>
      <c r="AZ416" s="77"/>
      <c r="BA416" s="99">
        <f>IF(OR(AY416="",AZ416=""),0,IFERROR(INDEX(#REF!,MATCH(AY416,#REF!,0))*AZ416,0))</f>
        <v>0</v>
      </c>
      <c r="BB416" s="100">
        <f t="shared" si="61"/>
        <v>0</v>
      </c>
      <c r="BC416" s="110" t="str">
        <f t="shared" si="62"/>
        <v/>
      </c>
      <c r="BD416" s="62"/>
    </row>
    <row r="417" spans="1:56" ht="19.5" customHeight="1" x14ac:dyDescent="0.45">
      <c r="A417" s="104" t="str">
        <f t="shared" si="63"/>
        <v/>
      </c>
      <c r="B417" s="5"/>
      <c r="C417" s="109"/>
      <c r="D417" s="107"/>
      <c r="E417" s="6"/>
      <c r="F417" s="85"/>
      <c r="G417" s="85"/>
      <c r="H417" s="104" t="str">
        <f t="shared" si="55"/>
        <v/>
      </c>
      <c r="I417" s="103" t="str">
        <f>IFERROR(INDEX(#REF!,MATCH(E417,#REF!,0)),"")</f>
        <v/>
      </c>
      <c r="J417" s="6"/>
      <c r="K417" s="103" t="str">
        <f t="shared" si="56"/>
        <v/>
      </c>
      <c r="L417" s="8"/>
      <c r="M417" s="102" t="str">
        <f t="shared" si="57"/>
        <v/>
      </c>
      <c r="N417" s="9"/>
      <c r="O417" s="103" t="str">
        <f t="shared" si="58"/>
        <v/>
      </c>
      <c r="P417" s="6"/>
      <c r="Q417" s="7"/>
      <c r="R417" s="10"/>
      <c r="S417" s="29" t="str">
        <f t="shared" ca="1" si="59"/>
        <v/>
      </c>
      <c r="T417" s="7"/>
      <c r="U417" s="74"/>
      <c r="V417" s="101">
        <f>IF(OR(T417="",U417=""),0,IFERROR(INDEX(#REF!,MATCH(T417,#REF!,0))*U417,0))</f>
        <v>0</v>
      </c>
      <c r="W417" s="7"/>
      <c r="X417" s="74"/>
      <c r="Y417" s="101">
        <f>IF(OR(W417="",X417=""),0,IFERROR(INDEX(#REF!,MATCH(W417,#REF!,0))*X417,0))</f>
        <v>0</v>
      </c>
      <c r="Z417" s="7"/>
      <c r="AA417" s="74"/>
      <c r="AB417" s="101">
        <f>IF(OR(Z417="",AA417=""),0,IFERROR(INDEX(#REF!,MATCH(Z417,#REF!,0))*AA417,0))</f>
        <v>0</v>
      </c>
      <c r="AC417" s="7"/>
      <c r="AD417" s="74"/>
      <c r="AE417" s="101">
        <f>IF(OR(AC417="",AD417=""),0,IFERROR(INDEX(#REF!,MATCH(AC417,#REF!,0))*AD417,0))</f>
        <v>0</v>
      </c>
      <c r="AF417" s="7"/>
      <c r="AG417" s="74"/>
      <c r="AH417" s="101">
        <f>IF(OR(AF417="",AG417=""),0,IFERROR(INDEX(#REF!,MATCH(AF417,#REF!,0))*AG417,0))</f>
        <v>0</v>
      </c>
      <c r="AI417" s="7"/>
      <c r="AJ417" s="74"/>
      <c r="AK417" s="101">
        <f>IF(OR(AI417="",AJ417=""),0,IFERROR(INDEX(#REF!,MATCH(AI417,#REF!,0))*AJ417,0))</f>
        <v>0</v>
      </c>
      <c r="AL417" s="101">
        <f t="shared" si="60"/>
        <v>0</v>
      </c>
      <c r="AM417" s="7"/>
      <c r="AN417" s="72"/>
      <c r="AO417" s="99">
        <f>IF(OR(AM417="",AN417=""),0,IFERROR(INDEX(#REF!,MATCH(AM417,#REF!,0))*AN417,0))</f>
        <v>0</v>
      </c>
      <c r="AP417" s="7"/>
      <c r="AQ417" s="74"/>
      <c r="AR417" s="99">
        <f>IF(OR(AP417="",AQ417=""),0,IFERROR(INDEX(#REF!,MATCH(AP417,#REF!,0))*AQ417,0))</f>
        <v>0</v>
      </c>
      <c r="AS417" s="7"/>
      <c r="AT417" s="74"/>
      <c r="AU417" s="99">
        <f>IF(OR(AS417="",AT417=""),0,IFERROR(INDEX(#REF!,MATCH(AS417,#REF!,0))*AT417,0))</f>
        <v>0</v>
      </c>
      <c r="AV417" s="7"/>
      <c r="AW417" s="74"/>
      <c r="AX417" s="99">
        <f>IF(OR(AV417="",AW417=""),0,IFERROR(INDEX(#REF!,MATCH(AV417,#REF!,0))*AW417,0))</f>
        <v>0</v>
      </c>
      <c r="AY417" s="7"/>
      <c r="AZ417" s="77"/>
      <c r="BA417" s="99">
        <f>IF(OR(AY417="",AZ417=""),0,IFERROR(INDEX(#REF!,MATCH(AY417,#REF!,0))*AZ417,0))</f>
        <v>0</v>
      </c>
      <c r="BB417" s="100">
        <f t="shared" si="61"/>
        <v>0</v>
      </c>
      <c r="BC417" s="110" t="str">
        <f t="shared" si="62"/>
        <v/>
      </c>
      <c r="BD417" s="62"/>
    </row>
    <row r="418" spans="1:56" ht="19.5" customHeight="1" x14ac:dyDescent="0.45">
      <c r="A418" s="104" t="str">
        <f t="shared" si="63"/>
        <v/>
      </c>
      <c r="B418" s="5"/>
      <c r="C418" s="109"/>
      <c r="D418" s="107"/>
      <c r="E418" s="6"/>
      <c r="F418" s="85"/>
      <c r="G418" s="85"/>
      <c r="H418" s="104" t="str">
        <f t="shared" si="55"/>
        <v/>
      </c>
      <c r="I418" s="103" t="str">
        <f>IFERROR(INDEX(#REF!,MATCH(E418,#REF!,0)),"")</f>
        <v/>
      </c>
      <c r="J418" s="6"/>
      <c r="K418" s="103" t="str">
        <f t="shared" si="56"/>
        <v/>
      </c>
      <c r="L418" s="8"/>
      <c r="M418" s="102" t="str">
        <f t="shared" si="57"/>
        <v/>
      </c>
      <c r="N418" s="9"/>
      <c r="O418" s="103" t="str">
        <f t="shared" si="58"/>
        <v/>
      </c>
      <c r="P418" s="6"/>
      <c r="Q418" s="7"/>
      <c r="R418" s="10"/>
      <c r="S418" s="29" t="str">
        <f t="shared" ca="1" si="59"/>
        <v/>
      </c>
      <c r="T418" s="7"/>
      <c r="U418" s="74"/>
      <c r="V418" s="101">
        <f>IF(OR(T418="",U418=""),0,IFERROR(INDEX(#REF!,MATCH(T418,#REF!,0))*U418,0))</f>
        <v>0</v>
      </c>
      <c r="W418" s="7"/>
      <c r="X418" s="74"/>
      <c r="Y418" s="101">
        <f>IF(OR(W418="",X418=""),0,IFERROR(INDEX(#REF!,MATCH(W418,#REF!,0))*X418,0))</f>
        <v>0</v>
      </c>
      <c r="Z418" s="7"/>
      <c r="AA418" s="74"/>
      <c r="AB418" s="101">
        <f>IF(OR(Z418="",AA418=""),0,IFERROR(INDEX(#REF!,MATCH(Z418,#REF!,0))*AA418,0))</f>
        <v>0</v>
      </c>
      <c r="AC418" s="7"/>
      <c r="AD418" s="74"/>
      <c r="AE418" s="101">
        <f>IF(OR(AC418="",AD418=""),0,IFERROR(INDEX(#REF!,MATCH(AC418,#REF!,0))*AD418,0))</f>
        <v>0</v>
      </c>
      <c r="AF418" s="7"/>
      <c r="AG418" s="74"/>
      <c r="AH418" s="101">
        <f>IF(OR(AF418="",AG418=""),0,IFERROR(INDEX(#REF!,MATCH(AF418,#REF!,0))*AG418,0))</f>
        <v>0</v>
      </c>
      <c r="AI418" s="7"/>
      <c r="AJ418" s="74"/>
      <c r="AK418" s="101">
        <f>IF(OR(AI418="",AJ418=""),0,IFERROR(INDEX(#REF!,MATCH(AI418,#REF!,0))*AJ418,0))</f>
        <v>0</v>
      </c>
      <c r="AL418" s="101">
        <f t="shared" si="60"/>
        <v>0</v>
      </c>
      <c r="AM418" s="7"/>
      <c r="AN418" s="72"/>
      <c r="AO418" s="99">
        <f>IF(OR(AM418="",AN418=""),0,IFERROR(INDEX(#REF!,MATCH(AM418,#REF!,0))*AN418,0))</f>
        <v>0</v>
      </c>
      <c r="AP418" s="7"/>
      <c r="AQ418" s="74"/>
      <c r="AR418" s="99">
        <f>IF(OR(AP418="",AQ418=""),0,IFERROR(INDEX(#REF!,MATCH(AP418,#REF!,0))*AQ418,0))</f>
        <v>0</v>
      </c>
      <c r="AS418" s="7"/>
      <c r="AT418" s="74"/>
      <c r="AU418" s="99">
        <f>IF(OR(AS418="",AT418=""),0,IFERROR(INDEX(#REF!,MATCH(AS418,#REF!,0))*AT418,0))</f>
        <v>0</v>
      </c>
      <c r="AV418" s="7"/>
      <c r="AW418" s="74"/>
      <c r="AX418" s="99">
        <f>IF(OR(AV418="",AW418=""),0,IFERROR(INDEX(#REF!,MATCH(AV418,#REF!,0))*AW418,0))</f>
        <v>0</v>
      </c>
      <c r="AY418" s="7"/>
      <c r="AZ418" s="77"/>
      <c r="BA418" s="99">
        <f>IF(OR(AY418="",AZ418=""),0,IFERROR(INDEX(#REF!,MATCH(AY418,#REF!,0))*AZ418,0))</f>
        <v>0</v>
      </c>
      <c r="BB418" s="100">
        <f t="shared" si="61"/>
        <v>0</v>
      </c>
      <c r="BC418" s="110" t="str">
        <f t="shared" si="62"/>
        <v/>
      </c>
      <c r="BD418" s="62"/>
    </row>
    <row r="419" spans="1:56" ht="19.5" customHeight="1" x14ac:dyDescent="0.45">
      <c r="A419" s="104" t="str">
        <f t="shared" si="63"/>
        <v/>
      </c>
      <c r="B419" s="5"/>
      <c r="C419" s="109"/>
      <c r="D419" s="107"/>
      <c r="E419" s="6"/>
      <c r="F419" s="85"/>
      <c r="G419" s="85"/>
      <c r="H419" s="104" t="str">
        <f t="shared" si="55"/>
        <v/>
      </c>
      <c r="I419" s="103" t="str">
        <f>IFERROR(INDEX(#REF!,MATCH(E419,#REF!,0)),"")</f>
        <v/>
      </c>
      <c r="J419" s="6"/>
      <c r="K419" s="103" t="str">
        <f t="shared" si="56"/>
        <v/>
      </c>
      <c r="L419" s="8"/>
      <c r="M419" s="102" t="str">
        <f t="shared" si="57"/>
        <v/>
      </c>
      <c r="N419" s="9"/>
      <c r="O419" s="103" t="str">
        <f t="shared" si="58"/>
        <v/>
      </c>
      <c r="P419" s="6"/>
      <c r="Q419" s="7"/>
      <c r="R419" s="10"/>
      <c r="S419" s="29" t="str">
        <f t="shared" ca="1" si="59"/>
        <v/>
      </c>
      <c r="T419" s="7"/>
      <c r="U419" s="74"/>
      <c r="V419" s="101">
        <f>IF(OR(T419="",U419=""),0,IFERROR(INDEX(#REF!,MATCH(T419,#REF!,0))*U419,0))</f>
        <v>0</v>
      </c>
      <c r="W419" s="7"/>
      <c r="X419" s="74"/>
      <c r="Y419" s="101">
        <f>IF(OR(W419="",X419=""),0,IFERROR(INDEX(#REF!,MATCH(W419,#REF!,0))*X419,0))</f>
        <v>0</v>
      </c>
      <c r="Z419" s="7"/>
      <c r="AA419" s="74"/>
      <c r="AB419" s="101">
        <f>IF(OR(Z419="",AA419=""),0,IFERROR(INDEX(#REF!,MATCH(Z419,#REF!,0))*AA419,0))</f>
        <v>0</v>
      </c>
      <c r="AC419" s="7"/>
      <c r="AD419" s="74"/>
      <c r="AE419" s="101">
        <f>IF(OR(AC419="",AD419=""),0,IFERROR(INDEX(#REF!,MATCH(AC419,#REF!,0))*AD419,0))</f>
        <v>0</v>
      </c>
      <c r="AF419" s="7"/>
      <c r="AG419" s="74"/>
      <c r="AH419" s="101">
        <f>IF(OR(AF419="",AG419=""),0,IFERROR(INDEX(#REF!,MATCH(AF419,#REF!,0))*AG419,0))</f>
        <v>0</v>
      </c>
      <c r="AI419" s="7"/>
      <c r="AJ419" s="74"/>
      <c r="AK419" s="101">
        <f>IF(OR(AI419="",AJ419=""),0,IFERROR(INDEX(#REF!,MATCH(AI419,#REF!,0))*AJ419,0))</f>
        <v>0</v>
      </c>
      <c r="AL419" s="101">
        <f t="shared" si="60"/>
        <v>0</v>
      </c>
      <c r="AM419" s="7"/>
      <c r="AN419" s="72"/>
      <c r="AO419" s="99">
        <f>IF(OR(AM419="",AN419=""),0,IFERROR(INDEX(#REF!,MATCH(AM419,#REF!,0))*AN419,0))</f>
        <v>0</v>
      </c>
      <c r="AP419" s="7"/>
      <c r="AQ419" s="74"/>
      <c r="AR419" s="99">
        <f>IF(OR(AP419="",AQ419=""),0,IFERROR(INDEX(#REF!,MATCH(AP419,#REF!,0))*AQ419,0))</f>
        <v>0</v>
      </c>
      <c r="AS419" s="7"/>
      <c r="AT419" s="74"/>
      <c r="AU419" s="99">
        <f>IF(OR(AS419="",AT419=""),0,IFERROR(INDEX(#REF!,MATCH(AS419,#REF!,0))*AT419,0))</f>
        <v>0</v>
      </c>
      <c r="AV419" s="7"/>
      <c r="AW419" s="74"/>
      <c r="AX419" s="99">
        <f>IF(OR(AV419="",AW419=""),0,IFERROR(INDEX(#REF!,MATCH(AV419,#REF!,0))*AW419,0))</f>
        <v>0</v>
      </c>
      <c r="AY419" s="7"/>
      <c r="AZ419" s="77"/>
      <c r="BA419" s="99">
        <f>IF(OR(AY419="",AZ419=""),0,IFERROR(INDEX(#REF!,MATCH(AY419,#REF!,0))*AZ419,0))</f>
        <v>0</v>
      </c>
      <c r="BB419" s="100">
        <f t="shared" si="61"/>
        <v>0</v>
      </c>
      <c r="BC419" s="110" t="str">
        <f t="shared" si="62"/>
        <v/>
      </c>
      <c r="BD419" s="62"/>
    </row>
    <row r="420" spans="1:56" ht="19.5" customHeight="1" x14ac:dyDescent="0.45">
      <c r="A420" s="104" t="str">
        <f t="shared" si="63"/>
        <v/>
      </c>
      <c r="B420" s="5"/>
      <c r="C420" s="109"/>
      <c r="D420" s="107"/>
      <c r="E420" s="6"/>
      <c r="F420" s="85"/>
      <c r="G420" s="85"/>
      <c r="H420" s="104" t="str">
        <f t="shared" si="55"/>
        <v/>
      </c>
      <c r="I420" s="103" t="str">
        <f>IFERROR(INDEX(#REF!,MATCH(E420,#REF!,0)),"")</f>
        <v/>
      </c>
      <c r="J420" s="6"/>
      <c r="K420" s="103" t="str">
        <f t="shared" si="56"/>
        <v/>
      </c>
      <c r="L420" s="8"/>
      <c r="M420" s="102" t="str">
        <f t="shared" si="57"/>
        <v/>
      </c>
      <c r="N420" s="9"/>
      <c r="O420" s="103" t="str">
        <f t="shared" si="58"/>
        <v/>
      </c>
      <c r="P420" s="6"/>
      <c r="Q420" s="7"/>
      <c r="R420" s="10"/>
      <c r="S420" s="29" t="str">
        <f t="shared" ca="1" si="59"/>
        <v/>
      </c>
      <c r="T420" s="7"/>
      <c r="U420" s="74"/>
      <c r="V420" s="101">
        <f>IF(OR(T420="",U420=""),0,IFERROR(INDEX(#REF!,MATCH(T420,#REF!,0))*U420,0))</f>
        <v>0</v>
      </c>
      <c r="W420" s="7"/>
      <c r="X420" s="74"/>
      <c r="Y420" s="101">
        <f>IF(OR(W420="",X420=""),0,IFERROR(INDEX(#REF!,MATCH(W420,#REF!,0))*X420,0))</f>
        <v>0</v>
      </c>
      <c r="Z420" s="7"/>
      <c r="AA420" s="74"/>
      <c r="AB420" s="101">
        <f>IF(OR(Z420="",AA420=""),0,IFERROR(INDEX(#REF!,MATCH(Z420,#REF!,0))*AA420,0))</f>
        <v>0</v>
      </c>
      <c r="AC420" s="7"/>
      <c r="AD420" s="74"/>
      <c r="AE420" s="101">
        <f>IF(OR(AC420="",AD420=""),0,IFERROR(INDEX(#REF!,MATCH(AC420,#REF!,0))*AD420,0))</f>
        <v>0</v>
      </c>
      <c r="AF420" s="7"/>
      <c r="AG420" s="74"/>
      <c r="AH420" s="101">
        <f>IF(OR(AF420="",AG420=""),0,IFERROR(INDEX(#REF!,MATCH(AF420,#REF!,0))*AG420,0))</f>
        <v>0</v>
      </c>
      <c r="AI420" s="7"/>
      <c r="AJ420" s="74"/>
      <c r="AK420" s="101">
        <f>IF(OR(AI420="",AJ420=""),0,IFERROR(INDEX(#REF!,MATCH(AI420,#REF!,0))*AJ420,0))</f>
        <v>0</v>
      </c>
      <c r="AL420" s="101">
        <f t="shared" si="60"/>
        <v>0</v>
      </c>
      <c r="AM420" s="7"/>
      <c r="AN420" s="72"/>
      <c r="AO420" s="99">
        <f>IF(OR(AM420="",AN420=""),0,IFERROR(INDEX(#REF!,MATCH(AM420,#REF!,0))*AN420,0))</f>
        <v>0</v>
      </c>
      <c r="AP420" s="7"/>
      <c r="AQ420" s="74"/>
      <c r="AR420" s="99">
        <f>IF(OR(AP420="",AQ420=""),0,IFERROR(INDEX(#REF!,MATCH(AP420,#REF!,0))*AQ420,0))</f>
        <v>0</v>
      </c>
      <c r="AS420" s="7"/>
      <c r="AT420" s="74"/>
      <c r="AU420" s="99">
        <f>IF(OR(AS420="",AT420=""),0,IFERROR(INDEX(#REF!,MATCH(AS420,#REF!,0))*AT420,0))</f>
        <v>0</v>
      </c>
      <c r="AV420" s="7"/>
      <c r="AW420" s="74"/>
      <c r="AX420" s="99">
        <f>IF(OR(AV420="",AW420=""),0,IFERROR(INDEX(#REF!,MATCH(AV420,#REF!,0))*AW420,0))</f>
        <v>0</v>
      </c>
      <c r="AY420" s="7"/>
      <c r="AZ420" s="77"/>
      <c r="BA420" s="99">
        <f>IF(OR(AY420="",AZ420=""),0,IFERROR(INDEX(#REF!,MATCH(AY420,#REF!,0))*AZ420,0))</f>
        <v>0</v>
      </c>
      <c r="BB420" s="100">
        <f t="shared" si="61"/>
        <v>0</v>
      </c>
      <c r="BC420" s="110" t="str">
        <f t="shared" si="62"/>
        <v/>
      </c>
      <c r="BD420" s="62"/>
    </row>
    <row r="421" spans="1:56" ht="19.5" customHeight="1" x14ac:dyDescent="0.45">
      <c r="A421" s="104" t="str">
        <f t="shared" si="63"/>
        <v/>
      </c>
      <c r="B421" s="5"/>
      <c r="C421" s="109"/>
      <c r="D421" s="107"/>
      <c r="E421" s="6"/>
      <c r="F421" s="85"/>
      <c r="G421" s="85"/>
      <c r="H421" s="104" t="str">
        <f t="shared" si="55"/>
        <v/>
      </c>
      <c r="I421" s="103" t="str">
        <f>IFERROR(INDEX(#REF!,MATCH(E421,#REF!,0)),"")</f>
        <v/>
      </c>
      <c r="J421" s="6"/>
      <c r="K421" s="103" t="str">
        <f t="shared" si="56"/>
        <v/>
      </c>
      <c r="L421" s="8"/>
      <c r="M421" s="102" t="str">
        <f t="shared" si="57"/>
        <v/>
      </c>
      <c r="N421" s="9"/>
      <c r="O421" s="103" t="str">
        <f t="shared" si="58"/>
        <v/>
      </c>
      <c r="P421" s="6"/>
      <c r="Q421" s="7"/>
      <c r="R421" s="10"/>
      <c r="S421" s="29" t="str">
        <f t="shared" ca="1" si="59"/>
        <v/>
      </c>
      <c r="T421" s="7"/>
      <c r="U421" s="74"/>
      <c r="V421" s="101">
        <f>IF(OR(T421="",U421=""),0,IFERROR(INDEX(#REF!,MATCH(T421,#REF!,0))*U421,0))</f>
        <v>0</v>
      </c>
      <c r="W421" s="7"/>
      <c r="X421" s="74"/>
      <c r="Y421" s="101">
        <f>IF(OR(W421="",X421=""),0,IFERROR(INDEX(#REF!,MATCH(W421,#REF!,0))*X421,0))</f>
        <v>0</v>
      </c>
      <c r="Z421" s="7"/>
      <c r="AA421" s="74"/>
      <c r="AB421" s="101">
        <f>IF(OR(Z421="",AA421=""),0,IFERROR(INDEX(#REF!,MATCH(Z421,#REF!,0))*AA421,0))</f>
        <v>0</v>
      </c>
      <c r="AC421" s="7"/>
      <c r="AD421" s="74"/>
      <c r="AE421" s="101">
        <f>IF(OR(AC421="",AD421=""),0,IFERROR(INDEX(#REF!,MATCH(AC421,#REF!,0))*AD421,0))</f>
        <v>0</v>
      </c>
      <c r="AF421" s="7"/>
      <c r="AG421" s="74"/>
      <c r="AH421" s="101">
        <f>IF(OR(AF421="",AG421=""),0,IFERROR(INDEX(#REF!,MATCH(AF421,#REF!,0))*AG421,0))</f>
        <v>0</v>
      </c>
      <c r="AI421" s="7"/>
      <c r="AJ421" s="74"/>
      <c r="AK421" s="101">
        <f>IF(OR(AI421="",AJ421=""),0,IFERROR(INDEX(#REF!,MATCH(AI421,#REF!,0))*AJ421,0))</f>
        <v>0</v>
      </c>
      <c r="AL421" s="101">
        <f t="shared" si="60"/>
        <v>0</v>
      </c>
      <c r="AM421" s="7"/>
      <c r="AN421" s="72"/>
      <c r="AO421" s="99">
        <f>IF(OR(AM421="",AN421=""),0,IFERROR(INDEX(#REF!,MATCH(AM421,#REF!,0))*AN421,0))</f>
        <v>0</v>
      </c>
      <c r="AP421" s="7"/>
      <c r="AQ421" s="74"/>
      <c r="AR421" s="99">
        <f>IF(OR(AP421="",AQ421=""),0,IFERROR(INDEX(#REF!,MATCH(AP421,#REF!,0))*AQ421,0))</f>
        <v>0</v>
      </c>
      <c r="AS421" s="7"/>
      <c r="AT421" s="74"/>
      <c r="AU421" s="99">
        <f>IF(OR(AS421="",AT421=""),0,IFERROR(INDEX(#REF!,MATCH(AS421,#REF!,0))*AT421,0))</f>
        <v>0</v>
      </c>
      <c r="AV421" s="7"/>
      <c r="AW421" s="74"/>
      <c r="AX421" s="99">
        <f>IF(OR(AV421="",AW421=""),0,IFERROR(INDEX(#REF!,MATCH(AV421,#REF!,0))*AW421,0))</f>
        <v>0</v>
      </c>
      <c r="AY421" s="7"/>
      <c r="AZ421" s="77"/>
      <c r="BA421" s="99">
        <f>IF(OR(AY421="",AZ421=""),0,IFERROR(INDEX(#REF!,MATCH(AY421,#REF!,0))*AZ421,0))</f>
        <v>0</v>
      </c>
      <c r="BB421" s="100">
        <f t="shared" si="61"/>
        <v>0</v>
      </c>
      <c r="BC421" s="110" t="str">
        <f t="shared" si="62"/>
        <v/>
      </c>
      <c r="BD421" s="62"/>
    </row>
    <row r="422" spans="1:56" ht="19.5" customHeight="1" x14ac:dyDescent="0.45">
      <c r="A422" s="104" t="str">
        <f t="shared" si="63"/>
        <v/>
      </c>
      <c r="B422" s="5"/>
      <c r="C422" s="109"/>
      <c r="D422" s="107"/>
      <c r="E422" s="6"/>
      <c r="F422" s="85"/>
      <c r="G422" s="85"/>
      <c r="H422" s="104" t="str">
        <f t="shared" si="55"/>
        <v/>
      </c>
      <c r="I422" s="103" t="str">
        <f>IFERROR(INDEX(#REF!,MATCH(E422,#REF!,0)),"")</f>
        <v/>
      </c>
      <c r="J422" s="6"/>
      <c r="K422" s="103" t="str">
        <f t="shared" si="56"/>
        <v/>
      </c>
      <c r="L422" s="8"/>
      <c r="M422" s="102" t="str">
        <f t="shared" si="57"/>
        <v/>
      </c>
      <c r="N422" s="9"/>
      <c r="O422" s="103" t="str">
        <f t="shared" si="58"/>
        <v/>
      </c>
      <c r="P422" s="6"/>
      <c r="Q422" s="7"/>
      <c r="R422" s="10"/>
      <c r="S422" s="29" t="str">
        <f t="shared" ca="1" si="59"/>
        <v/>
      </c>
      <c r="T422" s="7"/>
      <c r="U422" s="74"/>
      <c r="V422" s="101">
        <f>IF(OR(T422="",U422=""),0,IFERROR(INDEX(#REF!,MATCH(T422,#REF!,0))*U422,0))</f>
        <v>0</v>
      </c>
      <c r="W422" s="7"/>
      <c r="X422" s="74"/>
      <c r="Y422" s="101">
        <f>IF(OR(W422="",X422=""),0,IFERROR(INDEX(#REF!,MATCH(W422,#REF!,0))*X422,0))</f>
        <v>0</v>
      </c>
      <c r="Z422" s="7"/>
      <c r="AA422" s="74"/>
      <c r="AB422" s="101">
        <f>IF(OR(Z422="",AA422=""),0,IFERROR(INDEX(#REF!,MATCH(Z422,#REF!,0))*AA422,0))</f>
        <v>0</v>
      </c>
      <c r="AC422" s="7"/>
      <c r="AD422" s="74"/>
      <c r="AE422" s="101">
        <f>IF(OR(AC422="",AD422=""),0,IFERROR(INDEX(#REF!,MATCH(AC422,#REF!,0))*AD422,0))</f>
        <v>0</v>
      </c>
      <c r="AF422" s="7"/>
      <c r="AG422" s="74"/>
      <c r="AH422" s="101">
        <f>IF(OR(AF422="",AG422=""),0,IFERROR(INDEX(#REF!,MATCH(AF422,#REF!,0))*AG422,0))</f>
        <v>0</v>
      </c>
      <c r="AI422" s="7"/>
      <c r="AJ422" s="74"/>
      <c r="AK422" s="101">
        <f>IF(OR(AI422="",AJ422=""),0,IFERROR(INDEX(#REF!,MATCH(AI422,#REF!,0))*AJ422,0))</f>
        <v>0</v>
      </c>
      <c r="AL422" s="101">
        <f t="shared" si="60"/>
        <v>0</v>
      </c>
      <c r="AM422" s="7"/>
      <c r="AN422" s="72"/>
      <c r="AO422" s="99">
        <f>IF(OR(AM422="",AN422=""),0,IFERROR(INDEX(#REF!,MATCH(AM422,#REF!,0))*AN422,0))</f>
        <v>0</v>
      </c>
      <c r="AP422" s="7"/>
      <c r="AQ422" s="74"/>
      <c r="AR422" s="99">
        <f>IF(OR(AP422="",AQ422=""),0,IFERROR(INDEX(#REF!,MATCH(AP422,#REF!,0))*AQ422,0))</f>
        <v>0</v>
      </c>
      <c r="AS422" s="7"/>
      <c r="AT422" s="74"/>
      <c r="AU422" s="99">
        <f>IF(OR(AS422="",AT422=""),0,IFERROR(INDEX(#REF!,MATCH(AS422,#REF!,0))*AT422,0))</f>
        <v>0</v>
      </c>
      <c r="AV422" s="7"/>
      <c r="AW422" s="74"/>
      <c r="AX422" s="99">
        <f>IF(OR(AV422="",AW422=""),0,IFERROR(INDEX(#REF!,MATCH(AV422,#REF!,0))*AW422,0))</f>
        <v>0</v>
      </c>
      <c r="AY422" s="7"/>
      <c r="AZ422" s="77"/>
      <c r="BA422" s="99">
        <f>IF(OR(AY422="",AZ422=""),0,IFERROR(INDEX(#REF!,MATCH(AY422,#REF!,0))*AZ422,0))</f>
        <v>0</v>
      </c>
      <c r="BB422" s="100">
        <f t="shared" si="61"/>
        <v>0</v>
      </c>
      <c r="BC422" s="110" t="str">
        <f t="shared" si="62"/>
        <v/>
      </c>
      <c r="BD422" s="62"/>
    </row>
    <row r="423" spans="1:56" ht="19.5" customHeight="1" x14ac:dyDescent="0.45">
      <c r="A423" s="104" t="str">
        <f t="shared" si="63"/>
        <v/>
      </c>
      <c r="B423" s="5"/>
      <c r="C423" s="109"/>
      <c r="D423" s="107"/>
      <c r="E423" s="6"/>
      <c r="F423" s="85"/>
      <c r="G423" s="85"/>
      <c r="H423" s="104" t="str">
        <f t="shared" si="55"/>
        <v/>
      </c>
      <c r="I423" s="103" t="str">
        <f>IFERROR(INDEX(#REF!,MATCH(E423,#REF!,0)),"")</f>
        <v/>
      </c>
      <c r="J423" s="6"/>
      <c r="K423" s="103" t="str">
        <f t="shared" si="56"/>
        <v/>
      </c>
      <c r="L423" s="8"/>
      <c r="M423" s="102" t="str">
        <f t="shared" si="57"/>
        <v/>
      </c>
      <c r="N423" s="9"/>
      <c r="O423" s="103" t="str">
        <f t="shared" si="58"/>
        <v/>
      </c>
      <c r="P423" s="6"/>
      <c r="Q423" s="7"/>
      <c r="R423" s="10"/>
      <c r="S423" s="29" t="str">
        <f t="shared" ca="1" si="59"/>
        <v/>
      </c>
      <c r="T423" s="7"/>
      <c r="U423" s="74"/>
      <c r="V423" s="101">
        <f>IF(OR(T423="",U423=""),0,IFERROR(INDEX(#REF!,MATCH(T423,#REF!,0))*U423,0))</f>
        <v>0</v>
      </c>
      <c r="W423" s="7"/>
      <c r="X423" s="74"/>
      <c r="Y423" s="101">
        <f>IF(OR(W423="",X423=""),0,IFERROR(INDEX(#REF!,MATCH(W423,#REF!,0))*X423,0))</f>
        <v>0</v>
      </c>
      <c r="Z423" s="7"/>
      <c r="AA423" s="74"/>
      <c r="AB423" s="101">
        <f>IF(OR(Z423="",AA423=""),0,IFERROR(INDEX(#REF!,MATCH(Z423,#REF!,0))*AA423,0))</f>
        <v>0</v>
      </c>
      <c r="AC423" s="7"/>
      <c r="AD423" s="74"/>
      <c r="AE423" s="101">
        <f>IF(OR(AC423="",AD423=""),0,IFERROR(INDEX(#REF!,MATCH(AC423,#REF!,0))*AD423,0))</f>
        <v>0</v>
      </c>
      <c r="AF423" s="7"/>
      <c r="AG423" s="74"/>
      <c r="AH423" s="101">
        <f>IF(OR(AF423="",AG423=""),0,IFERROR(INDEX(#REF!,MATCH(AF423,#REF!,0))*AG423,0))</f>
        <v>0</v>
      </c>
      <c r="AI423" s="7"/>
      <c r="AJ423" s="74"/>
      <c r="AK423" s="101">
        <f>IF(OR(AI423="",AJ423=""),0,IFERROR(INDEX(#REF!,MATCH(AI423,#REF!,0))*AJ423,0))</f>
        <v>0</v>
      </c>
      <c r="AL423" s="101">
        <f t="shared" si="60"/>
        <v>0</v>
      </c>
      <c r="AM423" s="7"/>
      <c r="AN423" s="72"/>
      <c r="AO423" s="99">
        <f>IF(OR(AM423="",AN423=""),0,IFERROR(INDEX(#REF!,MATCH(AM423,#REF!,0))*AN423,0))</f>
        <v>0</v>
      </c>
      <c r="AP423" s="7"/>
      <c r="AQ423" s="74"/>
      <c r="AR423" s="99">
        <f>IF(OR(AP423="",AQ423=""),0,IFERROR(INDEX(#REF!,MATCH(AP423,#REF!,0))*AQ423,0))</f>
        <v>0</v>
      </c>
      <c r="AS423" s="7"/>
      <c r="AT423" s="74"/>
      <c r="AU423" s="99">
        <f>IF(OR(AS423="",AT423=""),0,IFERROR(INDEX(#REF!,MATCH(AS423,#REF!,0))*AT423,0))</f>
        <v>0</v>
      </c>
      <c r="AV423" s="7"/>
      <c r="AW423" s="74"/>
      <c r="AX423" s="99">
        <f>IF(OR(AV423="",AW423=""),0,IFERROR(INDEX(#REF!,MATCH(AV423,#REF!,0))*AW423,0))</f>
        <v>0</v>
      </c>
      <c r="AY423" s="7"/>
      <c r="AZ423" s="77"/>
      <c r="BA423" s="99">
        <f>IF(OR(AY423="",AZ423=""),0,IFERROR(INDEX(#REF!,MATCH(AY423,#REF!,0))*AZ423,0))</f>
        <v>0</v>
      </c>
      <c r="BB423" s="100">
        <f t="shared" si="61"/>
        <v>0</v>
      </c>
      <c r="BC423" s="110" t="str">
        <f t="shared" si="62"/>
        <v/>
      </c>
      <c r="BD423" s="62"/>
    </row>
    <row r="424" spans="1:56" ht="19.5" customHeight="1" x14ac:dyDescent="0.45">
      <c r="A424" s="104" t="str">
        <f t="shared" si="63"/>
        <v/>
      </c>
      <c r="B424" s="5"/>
      <c r="C424" s="109"/>
      <c r="D424" s="107"/>
      <c r="E424" s="6"/>
      <c r="F424" s="85"/>
      <c r="G424" s="85"/>
      <c r="H424" s="104" t="str">
        <f t="shared" si="55"/>
        <v/>
      </c>
      <c r="I424" s="103" t="str">
        <f>IFERROR(INDEX(#REF!,MATCH(E424,#REF!,0)),"")</f>
        <v/>
      </c>
      <c r="J424" s="6"/>
      <c r="K424" s="103" t="str">
        <f t="shared" si="56"/>
        <v/>
      </c>
      <c r="L424" s="8"/>
      <c r="M424" s="102" t="str">
        <f t="shared" si="57"/>
        <v/>
      </c>
      <c r="N424" s="9"/>
      <c r="O424" s="103" t="str">
        <f t="shared" si="58"/>
        <v/>
      </c>
      <c r="P424" s="6"/>
      <c r="Q424" s="7"/>
      <c r="R424" s="10"/>
      <c r="S424" s="29" t="str">
        <f t="shared" ca="1" si="59"/>
        <v/>
      </c>
      <c r="T424" s="7"/>
      <c r="U424" s="74"/>
      <c r="V424" s="101">
        <f>IF(OR(T424="",U424=""),0,IFERROR(INDEX(#REF!,MATCH(T424,#REF!,0))*U424,0))</f>
        <v>0</v>
      </c>
      <c r="W424" s="7"/>
      <c r="X424" s="74"/>
      <c r="Y424" s="101">
        <f>IF(OR(W424="",X424=""),0,IFERROR(INDEX(#REF!,MATCH(W424,#REF!,0))*X424,0))</f>
        <v>0</v>
      </c>
      <c r="Z424" s="7"/>
      <c r="AA424" s="74"/>
      <c r="AB424" s="101">
        <f>IF(OR(Z424="",AA424=""),0,IFERROR(INDEX(#REF!,MATCH(Z424,#REF!,0))*AA424,0))</f>
        <v>0</v>
      </c>
      <c r="AC424" s="7"/>
      <c r="AD424" s="74"/>
      <c r="AE424" s="101">
        <f>IF(OR(AC424="",AD424=""),0,IFERROR(INDEX(#REF!,MATCH(AC424,#REF!,0))*AD424,0))</f>
        <v>0</v>
      </c>
      <c r="AF424" s="7"/>
      <c r="AG424" s="74"/>
      <c r="AH424" s="101">
        <f>IF(OR(AF424="",AG424=""),0,IFERROR(INDEX(#REF!,MATCH(AF424,#REF!,0))*AG424,0))</f>
        <v>0</v>
      </c>
      <c r="AI424" s="7"/>
      <c r="AJ424" s="74"/>
      <c r="AK424" s="101">
        <f>IF(OR(AI424="",AJ424=""),0,IFERROR(INDEX(#REF!,MATCH(AI424,#REF!,0))*AJ424,0))</f>
        <v>0</v>
      </c>
      <c r="AL424" s="101">
        <f t="shared" si="60"/>
        <v>0</v>
      </c>
      <c r="AM424" s="7"/>
      <c r="AN424" s="72"/>
      <c r="AO424" s="99">
        <f>IF(OR(AM424="",AN424=""),0,IFERROR(INDEX(#REF!,MATCH(AM424,#REF!,0))*AN424,0))</f>
        <v>0</v>
      </c>
      <c r="AP424" s="7"/>
      <c r="AQ424" s="74"/>
      <c r="AR424" s="99">
        <f>IF(OR(AP424="",AQ424=""),0,IFERROR(INDEX(#REF!,MATCH(AP424,#REF!,0))*AQ424,0))</f>
        <v>0</v>
      </c>
      <c r="AS424" s="7"/>
      <c r="AT424" s="74"/>
      <c r="AU424" s="99">
        <f>IF(OR(AS424="",AT424=""),0,IFERROR(INDEX(#REF!,MATCH(AS424,#REF!,0))*AT424,0))</f>
        <v>0</v>
      </c>
      <c r="AV424" s="7"/>
      <c r="AW424" s="74"/>
      <c r="AX424" s="99">
        <f>IF(OR(AV424="",AW424=""),0,IFERROR(INDEX(#REF!,MATCH(AV424,#REF!,0))*AW424,0))</f>
        <v>0</v>
      </c>
      <c r="AY424" s="7"/>
      <c r="AZ424" s="77"/>
      <c r="BA424" s="99">
        <f>IF(OR(AY424="",AZ424=""),0,IFERROR(INDEX(#REF!,MATCH(AY424,#REF!,0))*AZ424,0))</f>
        <v>0</v>
      </c>
      <c r="BB424" s="100">
        <f t="shared" si="61"/>
        <v>0</v>
      </c>
      <c r="BC424" s="110" t="str">
        <f t="shared" si="62"/>
        <v/>
      </c>
      <c r="BD424" s="62"/>
    </row>
    <row r="425" spans="1:56" ht="19.5" customHeight="1" x14ac:dyDescent="0.45">
      <c r="A425" s="104" t="str">
        <f t="shared" si="63"/>
        <v/>
      </c>
      <c r="B425" s="5"/>
      <c r="C425" s="109"/>
      <c r="D425" s="107"/>
      <c r="E425" s="6"/>
      <c r="F425" s="85"/>
      <c r="G425" s="85"/>
      <c r="H425" s="104" t="str">
        <f t="shared" si="55"/>
        <v/>
      </c>
      <c r="I425" s="103" t="str">
        <f>IFERROR(INDEX(#REF!,MATCH(E425,#REF!,0)),"")</f>
        <v/>
      </c>
      <c r="J425" s="6"/>
      <c r="K425" s="103" t="str">
        <f t="shared" si="56"/>
        <v/>
      </c>
      <c r="L425" s="8"/>
      <c r="M425" s="102" t="str">
        <f t="shared" si="57"/>
        <v/>
      </c>
      <c r="N425" s="9"/>
      <c r="O425" s="103" t="str">
        <f t="shared" si="58"/>
        <v/>
      </c>
      <c r="P425" s="6"/>
      <c r="Q425" s="7"/>
      <c r="R425" s="10"/>
      <c r="S425" s="29" t="str">
        <f t="shared" ca="1" si="59"/>
        <v/>
      </c>
      <c r="T425" s="7"/>
      <c r="U425" s="74"/>
      <c r="V425" s="101">
        <f>IF(OR(T425="",U425=""),0,IFERROR(INDEX(#REF!,MATCH(T425,#REF!,0))*U425,0))</f>
        <v>0</v>
      </c>
      <c r="W425" s="7"/>
      <c r="X425" s="74"/>
      <c r="Y425" s="101">
        <f>IF(OR(W425="",X425=""),0,IFERROR(INDEX(#REF!,MATCH(W425,#REF!,0))*X425,0))</f>
        <v>0</v>
      </c>
      <c r="Z425" s="7"/>
      <c r="AA425" s="74"/>
      <c r="AB425" s="101">
        <f>IF(OR(Z425="",AA425=""),0,IFERROR(INDEX(#REF!,MATCH(Z425,#REF!,0))*AA425,0))</f>
        <v>0</v>
      </c>
      <c r="AC425" s="7"/>
      <c r="AD425" s="74"/>
      <c r="AE425" s="101">
        <f>IF(OR(AC425="",AD425=""),0,IFERROR(INDEX(#REF!,MATCH(AC425,#REF!,0))*AD425,0))</f>
        <v>0</v>
      </c>
      <c r="AF425" s="7"/>
      <c r="AG425" s="74"/>
      <c r="AH425" s="101">
        <f>IF(OR(AF425="",AG425=""),0,IFERROR(INDEX(#REF!,MATCH(AF425,#REF!,0))*AG425,0))</f>
        <v>0</v>
      </c>
      <c r="AI425" s="7"/>
      <c r="AJ425" s="74"/>
      <c r="AK425" s="101">
        <f>IF(OR(AI425="",AJ425=""),0,IFERROR(INDEX(#REF!,MATCH(AI425,#REF!,0))*AJ425,0))</f>
        <v>0</v>
      </c>
      <c r="AL425" s="101">
        <f t="shared" si="60"/>
        <v>0</v>
      </c>
      <c r="AM425" s="7"/>
      <c r="AN425" s="72"/>
      <c r="AO425" s="99">
        <f>IF(OR(AM425="",AN425=""),0,IFERROR(INDEX(#REF!,MATCH(AM425,#REF!,0))*AN425,0))</f>
        <v>0</v>
      </c>
      <c r="AP425" s="7"/>
      <c r="AQ425" s="74"/>
      <c r="AR425" s="99">
        <f>IF(OR(AP425="",AQ425=""),0,IFERROR(INDEX(#REF!,MATCH(AP425,#REF!,0))*AQ425,0))</f>
        <v>0</v>
      </c>
      <c r="AS425" s="7"/>
      <c r="AT425" s="74"/>
      <c r="AU425" s="99">
        <f>IF(OR(AS425="",AT425=""),0,IFERROR(INDEX(#REF!,MATCH(AS425,#REF!,0))*AT425,0))</f>
        <v>0</v>
      </c>
      <c r="AV425" s="7"/>
      <c r="AW425" s="74"/>
      <c r="AX425" s="99">
        <f>IF(OR(AV425="",AW425=""),0,IFERROR(INDEX(#REF!,MATCH(AV425,#REF!,0))*AW425,0))</f>
        <v>0</v>
      </c>
      <c r="AY425" s="7"/>
      <c r="AZ425" s="77"/>
      <c r="BA425" s="99">
        <f>IF(OR(AY425="",AZ425=""),0,IFERROR(INDEX(#REF!,MATCH(AY425,#REF!,0))*AZ425,0))</f>
        <v>0</v>
      </c>
      <c r="BB425" s="100">
        <f t="shared" si="61"/>
        <v>0</v>
      </c>
      <c r="BC425" s="110" t="str">
        <f t="shared" si="62"/>
        <v/>
      </c>
      <c r="BD425" s="62"/>
    </row>
    <row r="426" spans="1:56" ht="19.5" customHeight="1" x14ac:dyDescent="0.45">
      <c r="A426" s="104" t="str">
        <f t="shared" si="63"/>
        <v/>
      </c>
      <c r="B426" s="5"/>
      <c r="C426" s="109"/>
      <c r="D426" s="107"/>
      <c r="E426" s="6"/>
      <c r="F426" s="85"/>
      <c r="G426" s="85"/>
      <c r="H426" s="104" t="str">
        <f t="shared" si="55"/>
        <v/>
      </c>
      <c r="I426" s="103" t="str">
        <f>IFERROR(INDEX(#REF!,MATCH(E426,#REF!,0)),"")</f>
        <v/>
      </c>
      <c r="J426" s="6"/>
      <c r="K426" s="103" t="str">
        <f t="shared" si="56"/>
        <v/>
      </c>
      <c r="L426" s="8"/>
      <c r="M426" s="102" t="str">
        <f t="shared" si="57"/>
        <v/>
      </c>
      <c r="N426" s="9"/>
      <c r="O426" s="103" t="str">
        <f t="shared" si="58"/>
        <v/>
      </c>
      <c r="P426" s="6"/>
      <c r="Q426" s="7"/>
      <c r="R426" s="10"/>
      <c r="S426" s="29" t="str">
        <f t="shared" ca="1" si="59"/>
        <v/>
      </c>
      <c r="T426" s="7"/>
      <c r="U426" s="74"/>
      <c r="V426" s="101">
        <f>IF(OR(T426="",U426=""),0,IFERROR(INDEX(#REF!,MATCH(T426,#REF!,0))*U426,0))</f>
        <v>0</v>
      </c>
      <c r="W426" s="7"/>
      <c r="X426" s="74"/>
      <c r="Y426" s="101">
        <f>IF(OR(W426="",X426=""),0,IFERROR(INDEX(#REF!,MATCH(W426,#REF!,0))*X426,0))</f>
        <v>0</v>
      </c>
      <c r="Z426" s="7"/>
      <c r="AA426" s="74"/>
      <c r="AB426" s="101">
        <f>IF(OR(Z426="",AA426=""),0,IFERROR(INDEX(#REF!,MATCH(Z426,#REF!,0))*AA426,0))</f>
        <v>0</v>
      </c>
      <c r="AC426" s="7"/>
      <c r="AD426" s="74"/>
      <c r="AE426" s="101">
        <f>IF(OR(AC426="",AD426=""),0,IFERROR(INDEX(#REF!,MATCH(AC426,#REF!,0))*AD426,0))</f>
        <v>0</v>
      </c>
      <c r="AF426" s="7"/>
      <c r="AG426" s="74"/>
      <c r="AH426" s="101">
        <f>IF(OR(AF426="",AG426=""),0,IFERROR(INDEX(#REF!,MATCH(AF426,#REF!,0))*AG426,0))</f>
        <v>0</v>
      </c>
      <c r="AI426" s="7"/>
      <c r="AJ426" s="74"/>
      <c r="AK426" s="101">
        <f>IF(OR(AI426="",AJ426=""),0,IFERROR(INDEX(#REF!,MATCH(AI426,#REF!,0))*AJ426,0))</f>
        <v>0</v>
      </c>
      <c r="AL426" s="101">
        <f t="shared" si="60"/>
        <v>0</v>
      </c>
      <c r="AM426" s="7"/>
      <c r="AN426" s="72"/>
      <c r="AO426" s="99">
        <f>IF(OR(AM426="",AN426=""),0,IFERROR(INDEX(#REF!,MATCH(AM426,#REF!,0))*AN426,0))</f>
        <v>0</v>
      </c>
      <c r="AP426" s="7"/>
      <c r="AQ426" s="74"/>
      <c r="AR426" s="99">
        <f>IF(OR(AP426="",AQ426=""),0,IFERROR(INDEX(#REF!,MATCH(AP426,#REF!,0))*AQ426,0))</f>
        <v>0</v>
      </c>
      <c r="AS426" s="7"/>
      <c r="AT426" s="74"/>
      <c r="AU426" s="99">
        <f>IF(OR(AS426="",AT426=""),0,IFERROR(INDEX(#REF!,MATCH(AS426,#REF!,0))*AT426,0))</f>
        <v>0</v>
      </c>
      <c r="AV426" s="7"/>
      <c r="AW426" s="74"/>
      <c r="AX426" s="99">
        <f>IF(OR(AV426="",AW426=""),0,IFERROR(INDEX(#REF!,MATCH(AV426,#REF!,0))*AW426,0))</f>
        <v>0</v>
      </c>
      <c r="AY426" s="7"/>
      <c r="AZ426" s="77"/>
      <c r="BA426" s="99">
        <f>IF(OR(AY426="",AZ426=""),0,IFERROR(INDEX(#REF!,MATCH(AY426,#REF!,0))*AZ426,0))</f>
        <v>0</v>
      </c>
      <c r="BB426" s="100">
        <f t="shared" si="61"/>
        <v>0</v>
      </c>
      <c r="BC426" s="110" t="str">
        <f t="shared" si="62"/>
        <v/>
      </c>
      <c r="BD426" s="62"/>
    </row>
    <row r="427" spans="1:56" ht="19.5" customHeight="1" x14ac:dyDescent="0.45">
      <c r="A427" s="104" t="str">
        <f t="shared" si="63"/>
        <v/>
      </c>
      <c r="B427" s="5"/>
      <c r="C427" s="109"/>
      <c r="D427" s="107"/>
      <c r="E427" s="6"/>
      <c r="F427" s="85"/>
      <c r="G427" s="85"/>
      <c r="H427" s="104" t="str">
        <f t="shared" si="55"/>
        <v/>
      </c>
      <c r="I427" s="103" t="str">
        <f>IFERROR(INDEX(#REF!,MATCH(E427,#REF!,0)),"")</f>
        <v/>
      </c>
      <c r="J427" s="6"/>
      <c r="K427" s="103" t="str">
        <f t="shared" si="56"/>
        <v/>
      </c>
      <c r="L427" s="8"/>
      <c r="M427" s="102" t="str">
        <f t="shared" si="57"/>
        <v/>
      </c>
      <c r="N427" s="9"/>
      <c r="O427" s="103" t="str">
        <f t="shared" si="58"/>
        <v/>
      </c>
      <c r="P427" s="6"/>
      <c r="Q427" s="7"/>
      <c r="R427" s="10"/>
      <c r="S427" s="29" t="str">
        <f t="shared" ca="1" si="59"/>
        <v/>
      </c>
      <c r="T427" s="7"/>
      <c r="U427" s="74"/>
      <c r="V427" s="101">
        <f>IF(OR(T427="",U427=""),0,IFERROR(INDEX(#REF!,MATCH(T427,#REF!,0))*U427,0))</f>
        <v>0</v>
      </c>
      <c r="W427" s="7"/>
      <c r="X427" s="74"/>
      <c r="Y427" s="101">
        <f>IF(OR(W427="",X427=""),0,IFERROR(INDEX(#REF!,MATCH(W427,#REF!,0))*X427,0))</f>
        <v>0</v>
      </c>
      <c r="Z427" s="7"/>
      <c r="AA427" s="74"/>
      <c r="AB427" s="101">
        <f>IF(OR(Z427="",AA427=""),0,IFERROR(INDEX(#REF!,MATCH(Z427,#REF!,0))*AA427,0))</f>
        <v>0</v>
      </c>
      <c r="AC427" s="7"/>
      <c r="AD427" s="74"/>
      <c r="AE427" s="101">
        <f>IF(OR(AC427="",AD427=""),0,IFERROR(INDEX(#REF!,MATCH(AC427,#REF!,0))*AD427,0))</f>
        <v>0</v>
      </c>
      <c r="AF427" s="7"/>
      <c r="AG427" s="74"/>
      <c r="AH427" s="101">
        <f>IF(OR(AF427="",AG427=""),0,IFERROR(INDEX(#REF!,MATCH(AF427,#REF!,0))*AG427,0))</f>
        <v>0</v>
      </c>
      <c r="AI427" s="7"/>
      <c r="AJ427" s="74"/>
      <c r="AK427" s="101">
        <f>IF(OR(AI427="",AJ427=""),0,IFERROR(INDEX(#REF!,MATCH(AI427,#REF!,0))*AJ427,0))</f>
        <v>0</v>
      </c>
      <c r="AL427" s="101">
        <f t="shared" si="60"/>
        <v>0</v>
      </c>
      <c r="AM427" s="7"/>
      <c r="AN427" s="72"/>
      <c r="AO427" s="99">
        <f>IF(OR(AM427="",AN427=""),0,IFERROR(INDEX(#REF!,MATCH(AM427,#REF!,0))*AN427,0))</f>
        <v>0</v>
      </c>
      <c r="AP427" s="7"/>
      <c r="AQ427" s="74"/>
      <c r="AR427" s="99">
        <f>IF(OR(AP427="",AQ427=""),0,IFERROR(INDEX(#REF!,MATCH(AP427,#REF!,0))*AQ427,0))</f>
        <v>0</v>
      </c>
      <c r="AS427" s="7"/>
      <c r="AT427" s="74"/>
      <c r="AU427" s="99">
        <f>IF(OR(AS427="",AT427=""),0,IFERROR(INDEX(#REF!,MATCH(AS427,#REF!,0))*AT427,0))</f>
        <v>0</v>
      </c>
      <c r="AV427" s="7"/>
      <c r="AW427" s="74"/>
      <c r="AX427" s="99">
        <f>IF(OR(AV427="",AW427=""),0,IFERROR(INDEX(#REF!,MATCH(AV427,#REF!,0))*AW427,0))</f>
        <v>0</v>
      </c>
      <c r="AY427" s="7"/>
      <c r="AZ427" s="77"/>
      <c r="BA427" s="99">
        <f>IF(OR(AY427="",AZ427=""),0,IFERROR(INDEX(#REF!,MATCH(AY427,#REF!,0))*AZ427,0))</f>
        <v>0</v>
      </c>
      <c r="BB427" s="100">
        <f t="shared" si="61"/>
        <v>0</v>
      </c>
      <c r="BC427" s="110" t="str">
        <f t="shared" si="62"/>
        <v/>
      </c>
      <c r="BD427" s="62"/>
    </row>
    <row r="428" spans="1:56" ht="19.5" customHeight="1" x14ac:dyDescent="0.45">
      <c r="A428" s="104" t="str">
        <f t="shared" si="63"/>
        <v/>
      </c>
      <c r="B428" s="5"/>
      <c r="C428" s="109"/>
      <c r="D428" s="107"/>
      <c r="E428" s="6"/>
      <c r="F428" s="85"/>
      <c r="G428" s="85"/>
      <c r="H428" s="104" t="str">
        <f t="shared" si="55"/>
        <v/>
      </c>
      <c r="I428" s="103" t="str">
        <f>IFERROR(INDEX(#REF!,MATCH(E428,#REF!,0)),"")</f>
        <v/>
      </c>
      <c r="J428" s="6"/>
      <c r="K428" s="103" t="str">
        <f t="shared" si="56"/>
        <v/>
      </c>
      <c r="L428" s="8"/>
      <c r="M428" s="102" t="str">
        <f t="shared" si="57"/>
        <v/>
      </c>
      <c r="N428" s="9"/>
      <c r="O428" s="103" t="str">
        <f t="shared" si="58"/>
        <v/>
      </c>
      <c r="P428" s="6"/>
      <c r="Q428" s="7"/>
      <c r="R428" s="10"/>
      <c r="S428" s="29" t="str">
        <f t="shared" ca="1" si="59"/>
        <v/>
      </c>
      <c r="T428" s="7"/>
      <c r="U428" s="74"/>
      <c r="V428" s="101">
        <f>IF(OR(T428="",U428=""),0,IFERROR(INDEX(#REF!,MATCH(T428,#REF!,0))*U428,0))</f>
        <v>0</v>
      </c>
      <c r="W428" s="7"/>
      <c r="X428" s="74"/>
      <c r="Y428" s="101">
        <f>IF(OR(W428="",X428=""),0,IFERROR(INDEX(#REF!,MATCH(W428,#REF!,0))*X428,0))</f>
        <v>0</v>
      </c>
      <c r="Z428" s="7"/>
      <c r="AA428" s="74"/>
      <c r="AB428" s="101">
        <f>IF(OR(Z428="",AA428=""),0,IFERROR(INDEX(#REF!,MATCH(Z428,#REF!,0))*AA428,0))</f>
        <v>0</v>
      </c>
      <c r="AC428" s="7"/>
      <c r="AD428" s="74"/>
      <c r="AE428" s="101">
        <f>IF(OR(AC428="",AD428=""),0,IFERROR(INDEX(#REF!,MATCH(AC428,#REF!,0))*AD428,0))</f>
        <v>0</v>
      </c>
      <c r="AF428" s="7"/>
      <c r="AG428" s="74"/>
      <c r="AH428" s="101">
        <f>IF(OR(AF428="",AG428=""),0,IFERROR(INDEX(#REF!,MATCH(AF428,#REF!,0))*AG428,0))</f>
        <v>0</v>
      </c>
      <c r="AI428" s="7"/>
      <c r="AJ428" s="74"/>
      <c r="AK428" s="101">
        <f>IF(OR(AI428="",AJ428=""),0,IFERROR(INDEX(#REF!,MATCH(AI428,#REF!,0))*AJ428,0))</f>
        <v>0</v>
      </c>
      <c r="AL428" s="101">
        <f t="shared" si="60"/>
        <v>0</v>
      </c>
      <c r="AM428" s="7"/>
      <c r="AN428" s="72"/>
      <c r="AO428" s="99">
        <f>IF(OR(AM428="",AN428=""),0,IFERROR(INDEX(#REF!,MATCH(AM428,#REF!,0))*AN428,0))</f>
        <v>0</v>
      </c>
      <c r="AP428" s="7"/>
      <c r="AQ428" s="74"/>
      <c r="AR428" s="99">
        <f>IF(OR(AP428="",AQ428=""),0,IFERROR(INDEX(#REF!,MATCH(AP428,#REF!,0))*AQ428,0))</f>
        <v>0</v>
      </c>
      <c r="AS428" s="7"/>
      <c r="AT428" s="74"/>
      <c r="AU428" s="99">
        <f>IF(OR(AS428="",AT428=""),0,IFERROR(INDEX(#REF!,MATCH(AS428,#REF!,0))*AT428,0))</f>
        <v>0</v>
      </c>
      <c r="AV428" s="7"/>
      <c r="AW428" s="74"/>
      <c r="AX428" s="99">
        <f>IF(OR(AV428="",AW428=""),0,IFERROR(INDEX(#REF!,MATCH(AV428,#REF!,0))*AW428,0))</f>
        <v>0</v>
      </c>
      <c r="AY428" s="7"/>
      <c r="AZ428" s="77"/>
      <c r="BA428" s="99">
        <f>IF(OR(AY428="",AZ428=""),0,IFERROR(INDEX(#REF!,MATCH(AY428,#REF!,0))*AZ428,0))</f>
        <v>0</v>
      </c>
      <c r="BB428" s="100">
        <f t="shared" si="61"/>
        <v>0</v>
      </c>
      <c r="BC428" s="110" t="str">
        <f t="shared" si="62"/>
        <v/>
      </c>
      <c r="BD428" s="62"/>
    </row>
    <row r="429" spans="1:56" ht="19.5" customHeight="1" x14ac:dyDescent="0.45">
      <c r="A429" s="104" t="str">
        <f t="shared" si="63"/>
        <v/>
      </c>
      <c r="B429" s="5"/>
      <c r="C429" s="109"/>
      <c r="D429" s="107"/>
      <c r="E429" s="6"/>
      <c r="F429" s="85"/>
      <c r="G429" s="85"/>
      <c r="H429" s="104" t="str">
        <f t="shared" si="55"/>
        <v/>
      </c>
      <c r="I429" s="103" t="str">
        <f>IFERROR(INDEX(#REF!,MATCH(E429,#REF!,0)),"")</f>
        <v/>
      </c>
      <c r="J429" s="6"/>
      <c r="K429" s="103" t="str">
        <f t="shared" si="56"/>
        <v/>
      </c>
      <c r="L429" s="8"/>
      <c r="M429" s="102" t="str">
        <f t="shared" si="57"/>
        <v/>
      </c>
      <c r="N429" s="9"/>
      <c r="O429" s="103" t="str">
        <f t="shared" si="58"/>
        <v/>
      </c>
      <c r="P429" s="6"/>
      <c r="Q429" s="7"/>
      <c r="R429" s="10"/>
      <c r="S429" s="29" t="str">
        <f t="shared" ca="1" si="59"/>
        <v/>
      </c>
      <c r="T429" s="7"/>
      <c r="U429" s="74"/>
      <c r="V429" s="101">
        <f>IF(OR(T429="",U429=""),0,IFERROR(INDEX(#REF!,MATCH(T429,#REF!,0))*U429,0))</f>
        <v>0</v>
      </c>
      <c r="W429" s="7"/>
      <c r="X429" s="74"/>
      <c r="Y429" s="101">
        <f>IF(OR(W429="",X429=""),0,IFERROR(INDEX(#REF!,MATCH(W429,#REF!,0))*X429,0))</f>
        <v>0</v>
      </c>
      <c r="Z429" s="7"/>
      <c r="AA429" s="74"/>
      <c r="AB429" s="101">
        <f>IF(OR(Z429="",AA429=""),0,IFERROR(INDEX(#REF!,MATCH(Z429,#REF!,0))*AA429,0))</f>
        <v>0</v>
      </c>
      <c r="AC429" s="7"/>
      <c r="AD429" s="74"/>
      <c r="AE429" s="101">
        <f>IF(OR(AC429="",AD429=""),0,IFERROR(INDEX(#REF!,MATCH(AC429,#REF!,0))*AD429,0))</f>
        <v>0</v>
      </c>
      <c r="AF429" s="7"/>
      <c r="AG429" s="74"/>
      <c r="AH429" s="101">
        <f>IF(OR(AF429="",AG429=""),0,IFERROR(INDEX(#REF!,MATCH(AF429,#REF!,0))*AG429,0))</f>
        <v>0</v>
      </c>
      <c r="AI429" s="7"/>
      <c r="AJ429" s="74"/>
      <c r="AK429" s="101">
        <f>IF(OR(AI429="",AJ429=""),0,IFERROR(INDEX(#REF!,MATCH(AI429,#REF!,0))*AJ429,0))</f>
        <v>0</v>
      </c>
      <c r="AL429" s="101">
        <f t="shared" si="60"/>
        <v>0</v>
      </c>
      <c r="AM429" s="7"/>
      <c r="AN429" s="72"/>
      <c r="AO429" s="99">
        <f>IF(OR(AM429="",AN429=""),0,IFERROR(INDEX(#REF!,MATCH(AM429,#REF!,0))*AN429,0))</f>
        <v>0</v>
      </c>
      <c r="AP429" s="7"/>
      <c r="AQ429" s="74"/>
      <c r="AR429" s="99">
        <f>IF(OR(AP429="",AQ429=""),0,IFERROR(INDEX(#REF!,MATCH(AP429,#REF!,0))*AQ429,0))</f>
        <v>0</v>
      </c>
      <c r="AS429" s="7"/>
      <c r="AT429" s="74"/>
      <c r="AU429" s="99">
        <f>IF(OR(AS429="",AT429=""),0,IFERROR(INDEX(#REF!,MATCH(AS429,#REF!,0))*AT429,0))</f>
        <v>0</v>
      </c>
      <c r="AV429" s="7"/>
      <c r="AW429" s="74"/>
      <c r="AX429" s="99">
        <f>IF(OR(AV429="",AW429=""),0,IFERROR(INDEX(#REF!,MATCH(AV429,#REF!,0))*AW429,0))</f>
        <v>0</v>
      </c>
      <c r="AY429" s="7"/>
      <c r="AZ429" s="77"/>
      <c r="BA429" s="99">
        <f>IF(OR(AY429="",AZ429=""),0,IFERROR(INDEX(#REF!,MATCH(AY429,#REF!,0))*AZ429,0))</f>
        <v>0</v>
      </c>
      <c r="BB429" s="100">
        <f t="shared" si="61"/>
        <v>0</v>
      </c>
      <c r="BC429" s="110" t="str">
        <f t="shared" si="62"/>
        <v/>
      </c>
      <c r="BD429" s="62"/>
    </row>
    <row r="430" spans="1:56" ht="19.5" customHeight="1" x14ac:dyDescent="0.45">
      <c r="A430" s="104" t="str">
        <f t="shared" si="63"/>
        <v/>
      </c>
      <c r="B430" s="5"/>
      <c r="C430" s="109"/>
      <c r="D430" s="107"/>
      <c r="E430" s="6"/>
      <c r="F430" s="85"/>
      <c r="G430" s="85"/>
      <c r="H430" s="104" t="str">
        <f t="shared" si="55"/>
        <v/>
      </c>
      <c r="I430" s="103" t="str">
        <f>IFERROR(INDEX(#REF!,MATCH(E430,#REF!,0)),"")</f>
        <v/>
      </c>
      <c r="J430" s="6"/>
      <c r="K430" s="103" t="str">
        <f t="shared" si="56"/>
        <v/>
      </c>
      <c r="L430" s="8"/>
      <c r="M430" s="102" t="str">
        <f t="shared" si="57"/>
        <v/>
      </c>
      <c r="N430" s="9"/>
      <c r="O430" s="103" t="str">
        <f t="shared" si="58"/>
        <v/>
      </c>
      <c r="P430" s="6"/>
      <c r="Q430" s="7"/>
      <c r="R430" s="10"/>
      <c r="S430" s="29" t="str">
        <f t="shared" ca="1" si="59"/>
        <v/>
      </c>
      <c r="T430" s="7"/>
      <c r="U430" s="74"/>
      <c r="V430" s="101">
        <f>IF(OR(T430="",U430=""),0,IFERROR(INDEX(#REF!,MATCH(T430,#REF!,0))*U430,0))</f>
        <v>0</v>
      </c>
      <c r="W430" s="7"/>
      <c r="X430" s="74"/>
      <c r="Y430" s="101">
        <f>IF(OR(W430="",X430=""),0,IFERROR(INDEX(#REF!,MATCH(W430,#REF!,0))*X430,0))</f>
        <v>0</v>
      </c>
      <c r="Z430" s="7"/>
      <c r="AA430" s="74"/>
      <c r="AB430" s="101">
        <f>IF(OR(Z430="",AA430=""),0,IFERROR(INDEX(#REF!,MATCH(Z430,#REF!,0))*AA430,0))</f>
        <v>0</v>
      </c>
      <c r="AC430" s="7"/>
      <c r="AD430" s="74"/>
      <c r="AE430" s="101">
        <f>IF(OR(AC430="",AD430=""),0,IFERROR(INDEX(#REF!,MATCH(AC430,#REF!,0))*AD430,0))</f>
        <v>0</v>
      </c>
      <c r="AF430" s="7"/>
      <c r="AG430" s="74"/>
      <c r="AH430" s="101">
        <f>IF(OR(AF430="",AG430=""),0,IFERROR(INDEX(#REF!,MATCH(AF430,#REF!,0))*AG430,0))</f>
        <v>0</v>
      </c>
      <c r="AI430" s="7"/>
      <c r="AJ430" s="74"/>
      <c r="AK430" s="101">
        <f>IF(OR(AI430="",AJ430=""),0,IFERROR(INDEX(#REF!,MATCH(AI430,#REF!,0))*AJ430,0))</f>
        <v>0</v>
      </c>
      <c r="AL430" s="101">
        <f t="shared" si="60"/>
        <v>0</v>
      </c>
      <c r="AM430" s="7"/>
      <c r="AN430" s="72"/>
      <c r="AO430" s="99">
        <f>IF(OR(AM430="",AN430=""),0,IFERROR(INDEX(#REF!,MATCH(AM430,#REF!,0))*AN430,0))</f>
        <v>0</v>
      </c>
      <c r="AP430" s="7"/>
      <c r="AQ430" s="74"/>
      <c r="AR430" s="99">
        <f>IF(OR(AP430="",AQ430=""),0,IFERROR(INDEX(#REF!,MATCH(AP430,#REF!,0))*AQ430,0))</f>
        <v>0</v>
      </c>
      <c r="AS430" s="7"/>
      <c r="AT430" s="74"/>
      <c r="AU430" s="99">
        <f>IF(OR(AS430="",AT430=""),0,IFERROR(INDEX(#REF!,MATCH(AS430,#REF!,0))*AT430,0))</f>
        <v>0</v>
      </c>
      <c r="AV430" s="7"/>
      <c r="AW430" s="74"/>
      <c r="AX430" s="99">
        <f>IF(OR(AV430="",AW430=""),0,IFERROR(INDEX(#REF!,MATCH(AV430,#REF!,0))*AW430,0))</f>
        <v>0</v>
      </c>
      <c r="AY430" s="7"/>
      <c r="AZ430" s="77"/>
      <c r="BA430" s="99">
        <f>IF(OR(AY430="",AZ430=""),0,IFERROR(INDEX(#REF!,MATCH(AY430,#REF!,0))*AZ430,0))</f>
        <v>0</v>
      </c>
      <c r="BB430" s="100">
        <f t="shared" si="61"/>
        <v>0</v>
      </c>
      <c r="BC430" s="110" t="str">
        <f t="shared" si="62"/>
        <v/>
      </c>
      <c r="BD430" s="62"/>
    </row>
    <row r="431" spans="1:56" ht="19.5" customHeight="1" x14ac:dyDescent="0.45">
      <c r="A431" s="104" t="str">
        <f t="shared" si="63"/>
        <v/>
      </c>
      <c r="B431" s="5"/>
      <c r="C431" s="109"/>
      <c r="D431" s="107"/>
      <c r="E431" s="6"/>
      <c r="F431" s="85"/>
      <c r="G431" s="85"/>
      <c r="H431" s="104" t="str">
        <f t="shared" si="55"/>
        <v/>
      </c>
      <c r="I431" s="103" t="str">
        <f>IFERROR(INDEX(#REF!,MATCH(E431,#REF!,0)),"")</f>
        <v/>
      </c>
      <c r="J431" s="6"/>
      <c r="K431" s="103" t="str">
        <f t="shared" si="56"/>
        <v/>
      </c>
      <c r="L431" s="8"/>
      <c r="M431" s="102" t="str">
        <f t="shared" si="57"/>
        <v/>
      </c>
      <c r="N431" s="9"/>
      <c r="O431" s="103" t="str">
        <f t="shared" si="58"/>
        <v/>
      </c>
      <c r="P431" s="6"/>
      <c r="Q431" s="7"/>
      <c r="R431" s="10"/>
      <c r="S431" s="29" t="str">
        <f t="shared" ca="1" si="59"/>
        <v/>
      </c>
      <c r="T431" s="7"/>
      <c r="U431" s="74"/>
      <c r="V431" s="101">
        <f>IF(OR(T431="",U431=""),0,IFERROR(INDEX(#REF!,MATCH(T431,#REF!,0))*U431,0))</f>
        <v>0</v>
      </c>
      <c r="W431" s="7"/>
      <c r="X431" s="74"/>
      <c r="Y431" s="101">
        <f>IF(OR(W431="",X431=""),0,IFERROR(INDEX(#REF!,MATCH(W431,#REF!,0))*X431,0))</f>
        <v>0</v>
      </c>
      <c r="Z431" s="7"/>
      <c r="AA431" s="74"/>
      <c r="AB431" s="101">
        <f>IF(OR(Z431="",AA431=""),0,IFERROR(INDEX(#REF!,MATCH(Z431,#REF!,0))*AA431,0))</f>
        <v>0</v>
      </c>
      <c r="AC431" s="7"/>
      <c r="AD431" s="74"/>
      <c r="AE431" s="101">
        <f>IF(OR(AC431="",AD431=""),0,IFERROR(INDEX(#REF!,MATCH(AC431,#REF!,0))*AD431,0))</f>
        <v>0</v>
      </c>
      <c r="AF431" s="7"/>
      <c r="AG431" s="74"/>
      <c r="AH431" s="101">
        <f>IF(OR(AF431="",AG431=""),0,IFERROR(INDEX(#REF!,MATCH(AF431,#REF!,0))*AG431,0))</f>
        <v>0</v>
      </c>
      <c r="AI431" s="7"/>
      <c r="AJ431" s="74"/>
      <c r="AK431" s="101">
        <f>IF(OR(AI431="",AJ431=""),0,IFERROR(INDEX(#REF!,MATCH(AI431,#REF!,0))*AJ431,0))</f>
        <v>0</v>
      </c>
      <c r="AL431" s="101">
        <f t="shared" si="60"/>
        <v>0</v>
      </c>
      <c r="AM431" s="7"/>
      <c r="AN431" s="72"/>
      <c r="AO431" s="99">
        <f>IF(OR(AM431="",AN431=""),0,IFERROR(INDEX(#REF!,MATCH(AM431,#REF!,0))*AN431,0))</f>
        <v>0</v>
      </c>
      <c r="AP431" s="7"/>
      <c r="AQ431" s="74"/>
      <c r="AR431" s="99">
        <f>IF(OR(AP431="",AQ431=""),0,IFERROR(INDEX(#REF!,MATCH(AP431,#REF!,0))*AQ431,0))</f>
        <v>0</v>
      </c>
      <c r="AS431" s="7"/>
      <c r="AT431" s="74"/>
      <c r="AU431" s="99">
        <f>IF(OR(AS431="",AT431=""),0,IFERROR(INDEX(#REF!,MATCH(AS431,#REF!,0))*AT431,0))</f>
        <v>0</v>
      </c>
      <c r="AV431" s="7"/>
      <c r="AW431" s="74"/>
      <c r="AX431" s="99">
        <f>IF(OR(AV431="",AW431=""),0,IFERROR(INDEX(#REF!,MATCH(AV431,#REF!,0))*AW431,0))</f>
        <v>0</v>
      </c>
      <c r="AY431" s="7"/>
      <c r="AZ431" s="77"/>
      <c r="BA431" s="99">
        <f>IF(OR(AY431="",AZ431=""),0,IFERROR(INDEX(#REF!,MATCH(AY431,#REF!,0))*AZ431,0))</f>
        <v>0</v>
      </c>
      <c r="BB431" s="100">
        <f t="shared" si="61"/>
        <v>0</v>
      </c>
      <c r="BC431" s="110" t="str">
        <f t="shared" si="62"/>
        <v/>
      </c>
      <c r="BD431" s="62"/>
    </row>
    <row r="432" spans="1:56" ht="19.5" customHeight="1" x14ac:dyDescent="0.45">
      <c r="A432" s="104" t="str">
        <f t="shared" si="63"/>
        <v/>
      </c>
      <c r="B432" s="5"/>
      <c r="C432" s="109"/>
      <c r="D432" s="107"/>
      <c r="E432" s="6"/>
      <c r="F432" s="85"/>
      <c r="G432" s="85"/>
      <c r="H432" s="104" t="str">
        <f t="shared" si="55"/>
        <v/>
      </c>
      <c r="I432" s="103" t="str">
        <f>IFERROR(INDEX(#REF!,MATCH(E432,#REF!,0)),"")</f>
        <v/>
      </c>
      <c r="J432" s="6"/>
      <c r="K432" s="103" t="str">
        <f t="shared" si="56"/>
        <v/>
      </c>
      <c r="L432" s="8"/>
      <c r="M432" s="102" t="str">
        <f t="shared" si="57"/>
        <v/>
      </c>
      <c r="N432" s="9"/>
      <c r="O432" s="103" t="str">
        <f t="shared" si="58"/>
        <v/>
      </c>
      <c r="P432" s="6"/>
      <c r="Q432" s="7"/>
      <c r="R432" s="10"/>
      <c r="S432" s="29" t="str">
        <f t="shared" ca="1" si="59"/>
        <v/>
      </c>
      <c r="T432" s="7"/>
      <c r="U432" s="74"/>
      <c r="V432" s="101">
        <f>IF(OR(T432="",U432=""),0,IFERROR(INDEX(#REF!,MATCH(T432,#REF!,0))*U432,0))</f>
        <v>0</v>
      </c>
      <c r="W432" s="7"/>
      <c r="X432" s="74"/>
      <c r="Y432" s="101">
        <f>IF(OR(W432="",X432=""),0,IFERROR(INDEX(#REF!,MATCH(W432,#REF!,0))*X432,0))</f>
        <v>0</v>
      </c>
      <c r="Z432" s="7"/>
      <c r="AA432" s="74"/>
      <c r="AB432" s="101">
        <f>IF(OR(Z432="",AA432=""),0,IFERROR(INDEX(#REF!,MATCH(Z432,#REF!,0))*AA432,0))</f>
        <v>0</v>
      </c>
      <c r="AC432" s="7"/>
      <c r="AD432" s="74"/>
      <c r="AE432" s="101">
        <f>IF(OR(AC432="",AD432=""),0,IFERROR(INDEX(#REF!,MATCH(AC432,#REF!,0))*AD432,0))</f>
        <v>0</v>
      </c>
      <c r="AF432" s="7"/>
      <c r="AG432" s="74"/>
      <c r="AH432" s="101">
        <f>IF(OR(AF432="",AG432=""),0,IFERROR(INDEX(#REF!,MATCH(AF432,#REF!,0))*AG432,0))</f>
        <v>0</v>
      </c>
      <c r="AI432" s="7"/>
      <c r="AJ432" s="74"/>
      <c r="AK432" s="101">
        <f>IF(OR(AI432="",AJ432=""),0,IFERROR(INDEX(#REF!,MATCH(AI432,#REF!,0))*AJ432,0))</f>
        <v>0</v>
      </c>
      <c r="AL432" s="101">
        <f t="shared" si="60"/>
        <v>0</v>
      </c>
      <c r="AM432" s="7"/>
      <c r="AN432" s="72"/>
      <c r="AO432" s="99">
        <f>IF(OR(AM432="",AN432=""),0,IFERROR(INDEX(#REF!,MATCH(AM432,#REF!,0))*AN432,0))</f>
        <v>0</v>
      </c>
      <c r="AP432" s="7"/>
      <c r="AQ432" s="74"/>
      <c r="AR432" s="99">
        <f>IF(OR(AP432="",AQ432=""),0,IFERROR(INDEX(#REF!,MATCH(AP432,#REF!,0))*AQ432,0))</f>
        <v>0</v>
      </c>
      <c r="AS432" s="7"/>
      <c r="AT432" s="74"/>
      <c r="AU432" s="99">
        <f>IF(OR(AS432="",AT432=""),0,IFERROR(INDEX(#REF!,MATCH(AS432,#REF!,0))*AT432,0))</f>
        <v>0</v>
      </c>
      <c r="AV432" s="7"/>
      <c r="AW432" s="74"/>
      <c r="AX432" s="99">
        <f>IF(OR(AV432="",AW432=""),0,IFERROR(INDEX(#REF!,MATCH(AV432,#REF!,0))*AW432,0))</f>
        <v>0</v>
      </c>
      <c r="AY432" s="7"/>
      <c r="AZ432" s="77"/>
      <c r="BA432" s="99">
        <f>IF(OR(AY432="",AZ432=""),0,IFERROR(INDEX(#REF!,MATCH(AY432,#REF!,0))*AZ432,0))</f>
        <v>0</v>
      </c>
      <c r="BB432" s="100">
        <f t="shared" si="61"/>
        <v>0</v>
      </c>
      <c r="BC432" s="110" t="str">
        <f t="shared" si="62"/>
        <v/>
      </c>
      <c r="BD432" s="62"/>
    </row>
    <row r="433" spans="1:56" ht="19.5" customHeight="1" x14ac:dyDescent="0.45">
      <c r="A433" s="104" t="str">
        <f t="shared" si="63"/>
        <v/>
      </c>
      <c r="B433" s="5"/>
      <c r="C433" s="109"/>
      <c r="D433" s="107"/>
      <c r="E433" s="6"/>
      <c r="F433" s="85"/>
      <c r="G433" s="85"/>
      <c r="H433" s="104" t="str">
        <f t="shared" si="55"/>
        <v/>
      </c>
      <c r="I433" s="103" t="str">
        <f>IFERROR(INDEX(#REF!,MATCH(E433,#REF!,0)),"")</f>
        <v/>
      </c>
      <c r="J433" s="6"/>
      <c r="K433" s="103" t="str">
        <f t="shared" si="56"/>
        <v/>
      </c>
      <c r="L433" s="8"/>
      <c r="M433" s="102" t="str">
        <f t="shared" si="57"/>
        <v/>
      </c>
      <c r="N433" s="9"/>
      <c r="O433" s="103" t="str">
        <f t="shared" si="58"/>
        <v/>
      </c>
      <c r="P433" s="6"/>
      <c r="Q433" s="7"/>
      <c r="R433" s="10"/>
      <c r="S433" s="29" t="str">
        <f t="shared" ca="1" si="59"/>
        <v/>
      </c>
      <c r="T433" s="7"/>
      <c r="U433" s="74"/>
      <c r="V433" s="101">
        <f>IF(OR(T433="",U433=""),0,IFERROR(INDEX(#REF!,MATCH(T433,#REF!,0))*U433,0))</f>
        <v>0</v>
      </c>
      <c r="W433" s="7"/>
      <c r="X433" s="74"/>
      <c r="Y433" s="101">
        <f>IF(OR(W433="",X433=""),0,IFERROR(INDEX(#REF!,MATCH(W433,#REF!,0))*X433,0))</f>
        <v>0</v>
      </c>
      <c r="Z433" s="7"/>
      <c r="AA433" s="74"/>
      <c r="AB433" s="101">
        <f>IF(OR(Z433="",AA433=""),0,IFERROR(INDEX(#REF!,MATCH(Z433,#REF!,0))*AA433,0))</f>
        <v>0</v>
      </c>
      <c r="AC433" s="7"/>
      <c r="AD433" s="74"/>
      <c r="AE433" s="101">
        <f>IF(OR(AC433="",AD433=""),0,IFERROR(INDEX(#REF!,MATCH(AC433,#REF!,0))*AD433,0))</f>
        <v>0</v>
      </c>
      <c r="AF433" s="7"/>
      <c r="AG433" s="74"/>
      <c r="AH433" s="101">
        <f>IF(OR(AF433="",AG433=""),0,IFERROR(INDEX(#REF!,MATCH(AF433,#REF!,0))*AG433,0))</f>
        <v>0</v>
      </c>
      <c r="AI433" s="7"/>
      <c r="AJ433" s="74"/>
      <c r="AK433" s="101">
        <f>IF(OR(AI433="",AJ433=""),0,IFERROR(INDEX(#REF!,MATCH(AI433,#REF!,0))*AJ433,0))</f>
        <v>0</v>
      </c>
      <c r="AL433" s="101">
        <f t="shared" si="60"/>
        <v>0</v>
      </c>
      <c r="AM433" s="7"/>
      <c r="AN433" s="72"/>
      <c r="AO433" s="99">
        <f>IF(OR(AM433="",AN433=""),0,IFERROR(INDEX(#REF!,MATCH(AM433,#REF!,0))*AN433,0))</f>
        <v>0</v>
      </c>
      <c r="AP433" s="7"/>
      <c r="AQ433" s="74"/>
      <c r="AR433" s="99">
        <f>IF(OR(AP433="",AQ433=""),0,IFERROR(INDEX(#REF!,MATCH(AP433,#REF!,0))*AQ433,0))</f>
        <v>0</v>
      </c>
      <c r="AS433" s="7"/>
      <c r="AT433" s="74"/>
      <c r="AU433" s="99">
        <f>IF(OR(AS433="",AT433=""),0,IFERROR(INDEX(#REF!,MATCH(AS433,#REF!,0))*AT433,0))</f>
        <v>0</v>
      </c>
      <c r="AV433" s="7"/>
      <c r="AW433" s="74"/>
      <c r="AX433" s="99">
        <f>IF(OR(AV433="",AW433=""),0,IFERROR(INDEX(#REF!,MATCH(AV433,#REF!,0))*AW433,0))</f>
        <v>0</v>
      </c>
      <c r="AY433" s="7"/>
      <c r="AZ433" s="77"/>
      <c r="BA433" s="99">
        <f>IF(OR(AY433="",AZ433=""),0,IFERROR(INDEX(#REF!,MATCH(AY433,#REF!,0))*AZ433,0))</f>
        <v>0</v>
      </c>
      <c r="BB433" s="100">
        <f t="shared" si="61"/>
        <v>0</v>
      </c>
      <c r="BC433" s="110" t="str">
        <f t="shared" si="62"/>
        <v/>
      </c>
      <c r="BD433" s="62"/>
    </row>
    <row r="434" spans="1:56" ht="19.5" customHeight="1" x14ac:dyDescent="0.45">
      <c r="A434" s="104" t="str">
        <f t="shared" si="63"/>
        <v/>
      </c>
      <c r="B434" s="5"/>
      <c r="C434" s="109"/>
      <c r="D434" s="107"/>
      <c r="E434" s="6"/>
      <c r="F434" s="85"/>
      <c r="G434" s="85"/>
      <c r="H434" s="104" t="str">
        <f t="shared" si="55"/>
        <v/>
      </c>
      <c r="I434" s="103" t="str">
        <f>IFERROR(INDEX(#REF!,MATCH(E434,#REF!,0)),"")</f>
        <v/>
      </c>
      <c r="J434" s="6"/>
      <c r="K434" s="103" t="str">
        <f t="shared" si="56"/>
        <v/>
      </c>
      <c r="L434" s="8"/>
      <c r="M434" s="102" t="str">
        <f t="shared" si="57"/>
        <v/>
      </c>
      <c r="N434" s="9"/>
      <c r="O434" s="103" t="str">
        <f t="shared" si="58"/>
        <v/>
      </c>
      <c r="P434" s="6"/>
      <c r="Q434" s="7"/>
      <c r="R434" s="10"/>
      <c r="S434" s="29" t="str">
        <f t="shared" ca="1" si="59"/>
        <v/>
      </c>
      <c r="T434" s="7"/>
      <c r="U434" s="74"/>
      <c r="V434" s="101">
        <f>IF(OR(T434="",U434=""),0,IFERROR(INDEX(#REF!,MATCH(T434,#REF!,0))*U434,0))</f>
        <v>0</v>
      </c>
      <c r="W434" s="7"/>
      <c r="X434" s="74"/>
      <c r="Y434" s="101">
        <f>IF(OR(W434="",X434=""),0,IFERROR(INDEX(#REF!,MATCH(W434,#REF!,0))*X434,0))</f>
        <v>0</v>
      </c>
      <c r="Z434" s="7"/>
      <c r="AA434" s="74"/>
      <c r="AB434" s="101">
        <f>IF(OR(Z434="",AA434=""),0,IFERROR(INDEX(#REF!,MATCH(Z434,#REF!,0))*AA434,0))</f>
        <v>0</v>
      </c>
      <c r="AC434" s="7"/>
      <c r="AD434" s="74"/>
      <c r="AE434" s="101">
        <f>IF(OR(AC434="",AD434=""),0,IFERROR(INDEX(#REF!,MATCH(AC434,#REF!,0))*AD434,0))</f>
        <v>0</v>
      </c>
      <c r="AF434" s="7"/>
      <c r="AG434" s="74"/>
      <c r="AH434" s="101">
        <f>IF(OR(AF434="",AG434=""),0,IFERROR(INDEX(#REF!,MATCH(AF434,#REF!,0))*AG434,0))</f>
        <v>0</v>
      </c>
      <c r="AI434" s="7"/>
      <c r="AJ434" s="74"/>
      <c r="AK434" s="101">
        <f>IF(OR(AI434="",AJ434=""),0,IFERROR(INDEX(#REF!,MATCH(AI434,#REF!,0))*AJ434,0))</f>
        <v>0</v>
      </c>
      <c r="AL434" s="101">
        <f t="shared" si="60"/>
        <v>0</v>
      </c>
      <c r="AM434" s="7"/>
      <c r="AN434" s="72"/>
      <c r="AO434" s="99">
        <f>IF(OR(AM434="",AN434=""),0,IFERROR(INDEX(#REF!,MATCH(AM434,#REF!,0))*AN434,0))</f>
        <v>0</v>
      </c>
      <c r="AP434" s="7"/>
      <c r="AQ434" s="74"/>
      <c r="AR434" s="99">
        <f>IF(OR(AP434="",AQ434=""),0,IFERROR(INDEX(#REF!,MATCH(AP434,#REF!,0))*AQ434,0))</f>
        <v>0</v>
      </c>
      <c r="AS434" s="7"/>
      <c r="AT434" s="74"/>
      <c r="AU434" s="99">
        <f>IF(OR(AS434="",AT434=""),0,IFERROR(INDEX(#REF!,MATCH(AS434,#REF!,0))*AT434,0))</f>
        <v>0</v>
      </c>
      <c r="AV434" s="7"/>
      <c r="AW434" s="74"/>
      <c r="AX434" s="99">
        <f>IF(OR(AV434="",AW434=""),0,IFERROR(INDEX(#REF!,MATCH(AV434,#REF!,0))*AW434,0))</f>
        <v>0</v>
      </c>
      <c r="AY434" s="7"/>
      <c r="AZ434" s="77"/>
      <c r="BA434" s="99">
        <f>IF(OR(AY434="",AZ434=""),0,IFERROR(INDEX(#REF!,MATCH(AY434,#REF!,0))*AZ434,0))</f>
        <v>0</v>
      </c>
      <c r="BB434" s="100">
        <f t="shared" si="61"/>
        <v>0</v>
      </c>
      <c r="BC434" s="110" t="str">
        <f t="shared" si="62"/>
        <v/>
      </c>
      <c r="BD434" s="62"/>
    </row>
    <row r="435" spans="1:56" ht="19.5" customHeight="1" x14ac:dyDescent="0.45">
      <c r="A435" s="104" t="str">
        <f t="shared" si="63"/>
        <v/>
      </c>
      <c r="B435" s="5"/>
      <c r="C435" s="109"/>
      <c r="D435" s="107"/>
      <c r="E435" s="6"/>
      <c r="F435" s="85"/>
      <c r="G435" s="85"/>
      <c r="H435" s="104" t="str">
        <f t="shared" si="55"/>
        <v/>
      </c>
      <c r="I435" s="103" t="str">
        <f>IFERROR(INDEX(#REF!,MATCH(E435,#REF!,0)),"")</f>
        <v/>
      </c>
      <c r="J435" s="6"/>
      <c r="K435" s="103" t="str">
        <f t="shared" si="56"/>
        <v/>
      </c>
      <c r="L435" s="8"/>
      <c r="M435" s="102" t="str">
        <f t="shared" si="57"/>
        <v/>
      </c>
      <c r="N435" s="9"/>
      <c r="O435" s="103" t="str">
        <f t="shared" si="58"/>
        <v/>
      </c>
      <c r="P435" s="6"/>
      <c r="Q435" s="7"/>
      <c r="R435" s="10"/>
      <c r="S435" s="29" t="str">
        <f t="shared" ca="1" si="59"/>
        <v/>
      </c>
      <c r="T435" s="7"/>
      <c r="U435" s="74"/>
      <c r="V435" s="101">
        <f>IF(OR(T435="",U435=""),0,IFERROR(INDEX(#REF!,MATCH(T435,#REF!,0))*U435,0))</f>
        <v>0</v>
      </c>
      <c r="W435" s="7"/>
      <c r="X435" s="74"/>
      <c r="Y435" s="101">
        <f>IF(OR(W435="",X435=""),0,IFERROR(INDEX(#REF!,MATCH(W435,#REF!,0))*X435,0))</f>
        <v>0</v>
      </c>
      <c r="Z435" s="7"/>
      <c r="AA435" s="74"/>
      <c r="AB435" s="101">
        <f>IF(OR(Z435="",AA435=""),0,IFERROR(INDEX(#REF!,MATCH(Z435,#REF!,0))*AA435,0))</f>
        <v>0</v>
      </c>
      <c r="AC435" s="7"/>
      <c r="AD435" s="74"/>
      <c r="AE435" s="101">
        <f>IF(OR(AC435="",AD435=""),0,IFERROR(INDEX(#REF!,MATCH(AC435,#REF!,0))*AD435,0))</f>
        <v>0</v>
      </c>
      <c r="AF435" s="7"/>
      <c r="AG435" s="74"/>
      <c r="AH435" s="101">
        <f>IF(OR(AF435="",AG435=""),0,IFERROR(INDEX(#REF!,MATCH(AF435,#REF!,0))*AG435,0))</f>
        <v>0</v>
      </c>
      <c r="AI435" s="7"/>
      <c r="AJ435" s="74"/>
      <c r="AK435" s="101">
        <f>IF(OR(AI435="",AJ435=""),0,IFERROR(INDEX(#REF!,MATCH(AI435,#REF!,0))*AJ435,0))</f>
        <v>0</v>
      </c>
      <c r="AL435" s="101">
        <f t="shared" si="60"/>
        <v>0</v>
      </c>
      <c r="AM435" s="7"/>
      <c r="AN435" s="72"/>
      <c r="AO435" s="99">
        <f>IF(OR(AM435="",AN435=""),0,IFERROR(INDEX(#REF!,MATCH(AM435,#REF!,0))*AN435,0))</f>
        <v>0</v>
      </c>
      <c r="AP435" s="7"/>
      <c r="AQ435" s="74"/>
      <c r="AR435" s="99">
        <f>IF(OR(AP435="",AQ435=""),0,IFERROR(INDEX(#REF!,MATCH(AP435,#REF!,0))*AQ435,0))</f>
        <v>0</v>
      </c>
      <c r="AS435" s="7"/>
      <c r="AT435" s="74"/>
      <c r="AU435" s="99">
        <f>IF(OR(AS435="",AT435=""),0,IFERROR(INDEX(#REF!,MATCH(AS435,#REF!,0))*AT435,0))</f>
        <v>0</v>
      </c>
      <c r="AV435" s="7"/>
      <c r="AW435" s="74"/>
      <c r="AX435" s="99">
        <f>IF(OR(AV435="",AW435=""),0,IFERROR(INDEX(#REF!,MATCH(AV435,#REF!,0))*AW435,0))</f>
        <v>0</v>
      </c>
      <c r="AY435" s="7"/>
      <c r="AZ435" s="77"/>
      <c r="BA435" s="99">
        <f>IF(OR(AY435="",AZ435=""),0,IFERROR(INDEX(#REF!,MATCH(AY435,#REF!,0))*AZ435,0))</f>
        <v>0</v>
      </c>
      <c r="BB435" s="100">
        <f t="shared" si="61"/>
        <v>0</v>
      </c>
      <c r="BC435" s="110" t="str">
        <f t="shared" si="62"/>
        <v/>
      </c>
      <c r="BD435" s="62"/>
    </row>
    <row r="436" spans="1:56" ht="19.5" customHeight="1" x14ac:dyDescent="0.45">
      <c r="A436" s="104" t="str">
        <f t="shared" si="63"/>
        <v/>
      </c>
      <c r="B436" s="5"/>
      <c r="C436" s="109"/>
      <c r="D436" s="107"/>
      <c r="E436" s="6"/>
      <c r="F436" s="85"/>
      <c r="G436" s="85"/>
      <c r="H436" s="104" t="str">
        <f t="shared" si="55"/>
        <v/>
      </c>
      <c r="I436" s="103" t="str">
        <f>IFERROR(INDEX(#REF!,MATCH(E436,#REF!,0)),"")</f>
        <v/>
      </c>
      <c r="J436" s="6"/>
      <c r="K436" s="103" t="str">
        <f t="shared" si="56"/>
        <v/>
      </c>
      <c r="L436" s="8"/>
      <c r="M436" s="102" t="str">
        <f t="shared" si="57"/>
        <v/>
      </c>
      <c r="N436" s="9"/>
      <c r="O436" s="103" t="str">
        <f t="shared" si="58"/>
        <v/>
      </c>
      <c r="P436" s="6"/>
      <c r="Q436" s="7"/>
      <c r="R436" s="10"/>
      <c r="S436" s="29" t="str">
        <f t="shared" ca="1" si="59"/>
        <v/>
      </c>
      <c r="T436" s="7"/>
      <c r="U436" s="74"/>
      <c r="V436" s="101">
        <f>IF(OR(T436="",U436=""),0,IFERROR(INDEX(#REF!,MATCH(T436,#REF!,0))*U436,0))</f>
        <v>0</v>
      </c>
      <c r="W436" s="7"/>
      <c r="X436" s="74"/>
      <c r="Y436" s="101">
        <f>IF(OR(W436="",X436=""),0,IFERROR(INDEX(#REF!,MATCH(W436,#REF!,0))*X436,0))</f>
        <v>0</v>
      </c>
      <c r="Z436" s="7"/>
      <c r="AA436" s="74"/>
      <c r="AB436" s="101">
        <f>IF(OR(Z436="",AA436=""),0,IFERROR(INDEX(#REF!,MATCH(Z436,#REF!,0))*AA436,0))</f>
        <v>0</v>
      </c>
      <c r="AC436" s="7"/>
      <c r="AD436" s="74"/>
      <c r="AE436" s="101">
        <f>IF(OR(AC436="",AD436=""),0,IFERROR(INDEX(#REF!,MATCH(AC436,#REF!,0))*AD436,0))</f>
        <v>0</v>
      </c>
      <c r="AF436" s="7"/>
      <c r="AG436" s="74"/>
      <c r="AH436" s="101">
        <f>IF(OR(AF436="",AG436=""),0,IFERROR(INDEX(#REF!,MATCH(AF436,#REF!,0))*AG436,0))</f>
        <v>0</v>
      </c>
      <c r="AI436" s="7"/>
      <c r="AJ436" s="74"/>
      <c r="AK436" s="101">
        <f>IF(OR(AI436="",AJ436=""),0,IFERROR(INDEX(#REF!,MATCH(AI436,#REF!,0))*AJ436,0))</f>
        <v>0</v>
      </c>
      <c r="AL436" s="101">
        <f t="shared" si="60"/>
        <v>0</v>
      </c>
      <c r="AM436" s="7"/>
      <c r="AN436" s="72"/>
      <c r="AO436" s="99">
        <f>IF(OR(AM436="",AN436=""),0,IFERROR(INDEX(#REF!,MATCH(AM436,#REF!,0))*AN436,0))</f>
        <v>0</v>
      </c>
      <c r="AP436" s="7"/>
      <c r="AQ436" s="74"/>
      <c r="AR436" s="99">
        <f>IF(OR(AP436="",AQ436=""),0,IFERROR(INDEX(#REF!,MATCH(AP436,#REF!,0))*AQ436,0))</f>
        <v>0</v>
      </c>
      <c r="AS436" s="7"/>
      <c r="AT436" s="74"/>
      <c r="AU436" s="99">
        <f>IF(OR(AS436="",AT436=""),0,IFERROR(INDEX(#REF!,MATCH(AS436,#REF!,0))*AT436,0))</f>
        <v>0</v>
      </c>
      <c r="AV436" s="7"/>
      <c r="AW436" s="74"/>
      <c r="AX436" s="99">
        <f>IF(OR(AV436="",AW436=""),0,IFERROR(INDEX(#REF!,MATCH(AV436,#REF!,0))*AW436,0))</f>
        <v>0</v>
      </c>
      <c r="AY436" s="7"/>
      <c r="AZ436" s="77"/>
      <c r="BA436" s="99">
        <f>IF(OR(AY436="",AZ436=""),0,IFERROR(INDEX(#REF!,MATCH(AY436,#REF!,0))*AZ436,0))</f>
        <v>0</v>
      </c>
      <c r="BB436" s="100">
        <f t="shared" si="61"/>
        <v>0</v>
      </c>
      <c r="BC436" s="110" t="str">
        <f t="shared" si="62"/>
        <v/>
      </c>
      <c r="BD436" s="62"/>
    </row>
    <row r="437" spans="1:56" ht="19.5" customHeight="1" x14ac:dyDescent="0.45">
      <c r="A437" s="104" t="str">
        <f t="shared" si="63"/>
        <v/>
      </c>
      <c r="B437" s="5"/>
      <c r="C437" s="109"/>
      <c r="D437" s="107"/>
      <c r="E437" s="6"/>
      <c r="F437" s="85"/>
      <c r="G437" s="85"/>
      <c r="H437" s="104" t="str">
        <f t="shared" si="55"/>
        <v/>
      </c>
      <c r="I437" s="103" t="str">
        <f>IFERROR(INDEX(#REF!,MATCH(E437,#REF!,0)),"")</f>
        <v/>
      </c>
      <c r="J437" s="6"/>
      <c r="K437" s="103" t="str">
        <f t="shared" si="56"/>
        <v/>
      </c>
      <c r="L437" s="8"/>
      <c r="M437" s="102" t="str">
        <f t="shared" si="57"/>
        <v/>
      </c>
      <c r="N437" s="9"/>
      <c r="O437" s="103" t="str">
        <f t="shared" si="58"/>
        <v/>
      </c>
      <c r="P437" s="6"/>
      <c r="Q437" s="7"/>
      <c r="R437" s="10"/>
      <c r="S437" s="29" t="str">
        <f t="shared" ca="1" si="59"/>
        <v/>
      </c>
      <c r="T437" s="7"/>
      <c r="U437" s="74"/>
      <c r="V437" s="101">
        <f>IF(OR(T437="",U437=""),0,IFERROR(INDEX(#REF!,MATCH(T437,#REF!,0))*U437,0))</f>
        <v>0</v>
      </c>
      <c r="W437" s="7"/>
      <c r="X437" s="74"/>
      <c r="Y437" s="101">
        <f>IF(OR(W437="",X437=""),0,IFERROR(INDEX(#REF!,MATCH(W437,#REF!,0))*X437,0))</f>
        <v>0</v>
      </c>
      <c r="Z437" s="7"/>
      <c r="AA437" s="74"/>
      <c r="AB437" s="101">
        <f>IF(OR(Z437="",AA437=""),0,IFERROR(INDEX(#REF!,MATCH(Z437,#REF!,0))*AA437,0))</f>
        <v>0</v>
      </c>
      <c r="AC437" s="7"/>
      <c r="AD437" s="74"/>
      <c r="AE437" s="101">
        <f>IF(OR(AC437="",AD437=""),0,IFERROR(INDEX(#REF!,MATCH(AC437,#REF!,0))*AD437,0))</f>
        <v>0</v>
      </c>
      <c r="AF437" s="7"/>
      <c r="AG437" s="74"/>
      <c r="AH437" s="101">
        <f>IF(OR(AF437="",AG437=""),0,IFERROR(INDEX(#REF!,MATCH(AF437,#REF!,0))*AG437,0))</f>
        <v>0</v>
      </c>
      <c r="AI437" s="7"/>
      <c r="AJ437" s="74"/>
      <c r="AK437" s="101">
        <f>IF(OR(AI437="",AJ437=""),0,IFERROR(INDEX(#REF!,MATCH(AI437,#REF!,0))*AJ437,0))</f>
        <v>0</v>
      </c>
      <c r="AL437" s="101">
        <f t="shared" si="60"/>
        <v>0</v>
      </c>
      <c r="AM437" s="7"/>
      <c r="AN437" s="72"/>
      <c r="AO437" s="99">
        <f>IF(OR(AM437="",AN437=""),0,IFERROR(INDEX(#REF!,MATCH(AM437,#REF!,0))*AN437,0))</f>
        <v>0</v>
      </c>
      <c r="AP437" s="7"/>
      <c r="AQ437" s="74"/>
      <c r="AR437" s="99">
        <f>IF(OR(AP437="",AQ437=""),0,IFERROR(INDEX(#REF!,MATCH(AP437,#REF!,0))*AQ437,0))</f>
        <v>0</v>
      </c>
      <c r="AS437" s="7"/>
      <c r="AT437" s="74"/>
      <c r="AU437" s="99">
        <f>IF(OR(AS437="",AT437=""),0,IFERROR(INDEX(#REF!,MATCH(AS437,#REF!,0))*AT437,0))</f>
        <v>0</v>
      </c>
      <c r="AV437" s="7"/>
      <c r="AW437" s="74"/>
      <c r="AX437" s="99">
        <f>IF(OR(AV437="",AW437=""),0,IFERROR(INDEX(#REF!,MATCH(AV437,#REF!,0))*AW437,0))</f>
        <v>0</v>
      </c>
      <c r="AY437" s="7"/>
      <c r="AZ437" s="77"/>
      <c r="BA437" s="99">
        <f>IF(OR(AY437="",AZ437=""),0,IFERROR(INDEX(#REF!,MATCH(AY437,#REF!,0))*AZ437,0))</f>
        <v>0</v>
      </c>
      <c r="BB437" s="100">
        <f t="shared" si="61"/>
        <v>0</v>
      </c>
      <c r="BC437" s="110" t="str">
        <f t="shared" si="62"/>
        <v/>
      </c>
      <c r="BD437" s="62"/>
    </row>
    <row r="438" spans="1:56" ht="19.5" customHeight="1" x14ac:dyDescent="0.45">
      <c r="A438" s="104" t="str">
        <f t="shared" si="63"/>
        <v/>
      </c>
      <c r="B438" s="5"/>
      <c r="C438" s="109"/>
      <c r="D438" s="107"/>
      <c r="E438" s="6"/>
      <c r="F438" s="85"/>
      <c r="G438" s="85"/>
      <c r="H438" s="104" t="str">
        <f t="shared" si="55"/>
        <v/>
      </c>
      <c r="I438" s="103" t="str">
        <f>IFERROR(INDEX(#REF!,MATCH(E438,#REF!,0)),"")</f>
        <v/>
      </c>
      <c r="J438" s="6"/>
      <c r="K438" s="103" t="str">
        <f t="shared" si="56"/>
        <v/>
      </c>
      <c r="L438" s="8"/>
      <c r="M438" s="102" t="str">
        <f t="shared" si="57"/>
        <v/>
      </c>
      <c r="N438" s="9"/>
      <c r="O438" s="103" t="str">
        <f t="shared" si="58"/>
        <v/>
      </c>
      <c r="P438" s="6"/>
      <c r="Q438" s="7"/>
      <c r="R438" s="10"/>
      <c r="S438" s="29" t="str">
        <f t="shared" ca="1" si="59"/>
        <v/>
      </c>
      <c r="T438" s="7"/>
      <c r="U438" s="74"/>
      <c r="V438" s="101">
        <f>IF(OR(T438="",U438=""),0,IFERROR(INDEX(#REF!,MATCH(T438,#REF!,0))*U438,0))</f>
        <v>0</v>
      </c>
      <c r="W438" s="7"/>
      <c r="X438" s="74"/>
      <c r="Y438" s="101">
        <f>IF(OR(W438="",X438=""),0,IFERROR(INDEX(#REF!,MATCH(W438,#REF!,0))*X438,0))</f>
        <v>0</v>
      </c>
      <c r="Z438" s="7"/>
      <c r="AA438" s="74"/>
      <c r="AB438" s="101">
        <f>IF(OR(Z438="",AA438=""),0,IFERROR(INDEX(#REF!,MATCH(Z438,#REF!,0))*AA438,0))</f>
        <v>0</v>
      </c>
      <c r="AC438" s="7"/>
      <c r="AD438" s="74"/>
      <c r="AE438" s="101">
        <f>IF(OR(AC438="",AD438=""),0,IFERROR(INDEX(#REF!,MATCH(AC438,#REF!,0))*AD438,0))</f>
        <v>0</v>
      </c>
      <c r="AF438" s="7"/>
      <c r="AG438" s="74"/>
      <c r="AH438" s="101">
        <f>IF(OR(AF438="",AG438=""),0,IFERROR(INDEX(#REF!,MATCH(AF438,#REF!,0))*AG438,0))</f>
        <v>0</v>
      </c>
      <c r="AI438" s="7"/>
      <c r="AJ438" s="74"/>
      <c r="AK438" s="101">
        <f>IF(OR(AI438="",AJ438=""),0,IFERROR(INDEX(#REF!,MATCH(AI438,#REF!,0))*AJ438,0))</f>
        <v>0</v>
      </c>
      <c r="AL438" s="101">
        <f t="shared" si="60"/>
        <v>0</v>
      </c>
      <c r="AM438" s="7"/>
      <c r="AN438" s="72"/>
      <c r="AO438" s="99">
        <f>IF(OR(AM438="",AN438=""),0,IFERROR(INDEX(#REF!,MATCH(AM438,#REF!,0))*AN438,0))</f>
        <v>0</v>
      </c>
      <c r="AP438" s="7"/>
      <c r="AQ438" s="74"/>
      <c r="AR438" s="99">
        <f>IF(OR(AP438="",AQ438=""),0,IFERROR(INDEX(#REF!,MATCH(AP438,#REF!,0))*AQ438,0))</f>
        <v>0</v>
      </c>
      <c r="AS438" s="7"/>
      <c r="AT438" s="74"/>
      <c r="AU438" s="99">
        <f>IF(OR(AS438="",AT438=""),0,IFERROR(INDEX(#REF!,MATCH(AS438,#REF!,0))*AT438,0))</f>
        <v>0</v>
      </c>
      <c r="AV438" s="7"/>
      <c r="AW438" s="74"/>
      <c r="AX438" s="99">
        <f>IF(OR(AV438="",AW438=""),0,IFERROR(INDEX(#REF!,MATCH(AV438,#REF!,0))*AW438,0))</f>
        <v>0</v>
      </c>
      <c r="AY438" s="7"/>
      <c r="AZ438" s="77"/>
      <c r="BA438" s="99">
        <f>IF(OR(AY438="",AZ438=""),0,IFERROR(INDEX(#REF!,MATCH(AY438,#REF!,0))*AZ438,0))</f>
        <v>0</v>
      </c>
      <c r="BB438" s="100">
        <f t="shared" si="61"/>
        <v>0</v>
      </c>
      <c r="BC438" s="110" t="str">
        <f t="shared" si="62"/>
        <v/>
      </c>
      <c r="BD438" s="62"/>
    </row>
    <row r="439" spans="1:56" ht="19.5" customHeight="1" x14ac:dyDescent="0.45">
      <c r="A439" s="104" t="str">
        <f t="shared" si="63"/>
        <v/>
      </c>
      <c r="B439" s="5"/>
      <c r="C439" s="109"/>
      <c r="D439" s="107"/>
      <c r="E439" s="6"/>
      <c r="F439" s="85"/>
      <c r="G439" s="85"/>
      <c r="H439" s="104" t="str">
        <f t="shared" si="55"/>
        <v/>
      </c>
      <c r="I439" s="103" t="str">
        <f>IFERROR(INDEX(#REF!,MATCH(E439,#REF!,0)),"")</f>
        <v/>
      </c>
      <c r="J439" s="6"/>
      <c r="K439" s="103" t="str">
        <f t="shared" si="56"/>
        <v/>
      </c>
      <c r="L439" s="8"/>
      <c r="M439" s="102" t="str">
        <f t="shared" si="57"/>
        <v/>
      </c>
      <c r="N439" s="9"/>
      <c r="O439" s="103" t="str">
        <f t="shared" si="58"/>
        <v/>
      </c>
      <c r="P439" s="6"/>
      <c r="Q439" s="7"/>
      <c r="R439" s="10"/>
      <c r="S439" s="29" t="str">
        <f t="shared" ca="1" si="59"/>
        <v/>
      </c>
      <c r="T439" s="7"/>
      <c r="U439" s="74"/>
      <c r="V439" s="101">
        <f>IF(OR(T439="",U439=""),0,IFERROR(INDEX(#REF!,MATCH(T439,#REF!,0))*U439,0))</f>
        <v>0</v>
      </c>
      <c r="W439" s="7"/>
      <c r="X439" s="74"/>
      <c r="Y439" s="101">
        <f>IF(OR(W439="",X439=""),0,IFERROR(INDEX(#REF!,MATCH(W439,#REF!,0))*X439,0))</f>
        <v>0</v>
      </c>
      <c r="Z439" s="7"/>
      <c r="AA439" s="74"/>
      <c r="AB439" s="101">
        <f>IF(OR(Z439="",AA439=""),0,IFERROR(INDEX(#REF!,MATCH(Z439,#REF!,0))*AA439,0))</f>
        <v>0</v>
      </c>
      <c r="AC439" s="7"/>
      <c r="AD439" s="74"/>
      <c r="AE439" s="101">
        <f>IF(OR(AC439="",AD439=""),0,IFERROR(INDEX(#REF!,MATCH(AC439,#REF!,0))*AD439,0))</f>
        <v>0</v>
      </c>
      <c r="AF439" s="7"/>
      <c r="AG439" s="74"/>
      <c r="AH439" s="101">
        <f>IF(OR(AF439="",AG439=""),0,IFERROR(INDEX(#REF!,MATCH(AF439,#REF!,0))*AG439,0))</f>
        <v>0</v>
      </c>
      <c r="AI439" s="7"/>
      <c r="AJ439" s="74"/>
      <c r="AK439" s="101">
        <f>IF(OR(AI439="",AJ439=""),0,IFERROR(INDEX(#REF!,MATCH(AI439,#REF!,0))*AJ439,0))</f>
        <v>0</v>
      </c>
      <c r="AL439" s="101">
        <f t="shared" si="60"/>
        <v>0</v>
      </c>
      <c r="AM439" s="7"/>
      <c r="AN439" s="72"/>
      <c r="AO439" s="99">
        <f>IF(OR(AM439="",AN439=""),0,IFERROR(INDEX(#REF!,MATCH(AM439,#REF!,0))*AN439,0))</f>
        <v>0</v>
      </c>
      <c r="AP439" s="7"/>
      <c r="AQ439" s="74"/>
      <c r="AR439" s="99">
        <f>IF(OR(AP439="",AQ439=""),0,IFERROR(INDEX(#REF!,MATCH(AP439,#REF!,0))*AQ439,0))</f>
        <v>0</v>
      </c>
      <c r="AS439" s="7"/>
      <c r="AT439" s="74"/>
      <c r="AU439" s="99">
        <f>IF(OR(AS439="",AT439=""),0,IFERROR(INDEX(#REF!,MATCH(AS439,#REF!,0))*AT439,0))</f>
        <v>0</v>
      </c>
      <c r="AV439" s="7"/>
      <c r="AW439" s="74"/>
      <c r="AX439" s="99">
        <f>IF(OR(AV439="",AW439=""),0,IFERROR(INDEX(#REF!,MATCH(AV439,#REF!,0))*AW439,0))</f>
        <v>0</v>
      </c>
      <c r="AY439" s="7"/>
      <c r="AZ439" s="77"/>
      <c r="BA439" s="99">
        <f>IF(OR(AY439="",AZ439=""),0,IFERROR(INDEX(#REF!,MATCH(AY439,#REF!,0))*AZ439,0))</f>
        <v>0</v>
      </c>
      <c r="BB439" s="100">
        <f t="shared" si="61"/>
        <v>0</v>
      </c>
      <c r="BC439" s="110" t="str">
        <f t="shared" si="62"/>
        <v/>
      </c>
      <c r="BD439" s="62"/>
    </row>
    <row r="440" spans="1:56" ht="19.5" customHeight="1" x14ac:dyDescent="0.45">
      <c r="A440" s="104" t="str">
        <f t="shared" si="63"/>
        <v/>
      </c>
      <c r="B440" s="5"/>
      <c r="C440" s="109"/>
      <c r="D440" s="107"/>
      <c r="E440" s="6"/>
      <c r="F440" s="85"/>
      <c r="G440" s="85"/>
      <c r="H440" s="104" t="str">
        <f t="shared" si="55"/>
        <v/>
      </c>
      <c r="I440" s="103" t="str">
        <f>IFERROR(INDEX(#REF!,MATCH(E440,#REF!,0)),"")</f>
        <v/>
      </c>
      <c r="J440" s="6"/>
      <c r="K440" s="103" t="str">
        <f t="shared" si="56"/>
        <v/>
      </c>
      <c r="L440" s="8"/>
      <c r="M440" s="102" t="str">
        <f t="shared" si="57"/>
        <v/>
      </c>
      <c r="N440" s="9"/>
      <c r="O440" s="103" t="str">
        <f t="shared" si="58"/>
        <v/>
      </c>
      <c r="P440" s="6"/>
      <c r="Q440" s="7"/>
      <c r="R440" s="10"/>
      <c r="S440" s="29" t="str">
        <f t="shared" ca="1" si="59"/>
        <v/>
      </c>
      <c r="T440" s="7"/>
      <c r="U440" s="74"/>
      <c r="V440" s="101">
        <f>IF(OR(T440="",U440=""),0,IFERROR(INDEX(#REF!,MATCH(T440,#REF!,0))*U440,0))</f>
        <v>0</v>
      </c>
      <c r="W440" s="7"/>
      <c r="X440" s="74"/>
      <c r="Y440" s="101">
        <f>IF(OR(W440="",X440=""),0,IFERROR(INDEX(#REF!,MATCH(W440,#REF!,0))*X440,0))</f>
        <v>0</v>
      </c>
      <c r="Z440" s="7"/>
      <c r="AA440" s="74"/>
      <c r="AB440" s="101">
        <f>IF(OR(Z440="",AA440=""),0,IFERROR(INDEX(#REF!,MATCH(Z440,#REF!,0))*AA440,0))</f>
        <v>0</v>
      </c>
      <c r="AC440" s="7"/>
      <c r="AD440" s="74"/>
      <c r="AE440" s="101">
        <f>IF(OR(AC440="",AD440=""),0,IFERROR(INDEX(#REF!,MATCH(AC440,#REF!,0))*AD440,0))</f>
        <v>0</v>
      </c>
      <c r="AF440" s="7"/>
      <c r="AG440" s="74"/>
      <c r="AH440" s="101">
        <f>IF(OR(AF440="",AG440=""),0,IFERROR(INDEX(#REF!,MATCH(AF440,#REF!,0))*AG440,0))</f>
        <v>0</v>
      </c>
      <c r="AI440" s="7"/>
      <c r="AJ440" s="74"/>
      <c r="AK440" s="101">
        <f>IF(OR(AI440="",AJ440=""),0,IFERROR(INDEX(#REF!,MATCH(AI440,#REF!,0))*AJ440,0))</f>
        <v>0</v>
      </c>
      <c r="AL440" s="101">
        <f t="shared" si="60"/>
        <v>0</v>
      </c>
      <c r="AM440" s="7"/>
      <c r="AN440" s="72"/>
      <c r="AO440" s="99">
        <f>IF(OR(AM440="",AN440=""),0,IFERROR(INDEX(#REF!,MATCH(AM440,#REF!,0))*AN440,0))</f>
        <v>0</v>
      </c>
      <c r="AP440" s="7"/>
      <c r="AQ440" s="74"/>
      <c r="AR440" s="99">
        <f>IF(OR(AP440="",AQ440=""),0,IFERROR(INDEX(#REF!,MATCH(AP440,#REF!,0))*AQ440,0))</f>
        <v>0</v>
      </c>
      <c r="AS440" s="7"/>
      <c r="AT440" s="74"/>
      <c r="AU440" s="99">
        <f>IF(OR(AS440="",AT440=""),0,IFERROR(INDEX(#REF!,MATCH(AS440,#REF!,0))*AT440,0))</f>
        <v>0</v>
      </c>
      <c r="AV440" s="7"/>
      <c r="AW440" s="74"/>
      <c r="AX440" s="99">
        <f>IF(OR(AV440="",AW440=""),0,IFERROR(INDEX(#REF!,MATCH(AV440,#REF!,0))*AW440,0))</f>
        <v>0</v>
      </c>
      <c r="AY440" s="7"/>
      <c r="AZ440" s="77"/>
      <c r="BA440" s="99">
        <f>IF(OR(AY440="",AZ440=""),0,IFERROR(INDEX(#REF!,MATCH(AY440,#REF!,0))*AZ440,0))</f>
        <v>0</v>
      </c>
      <c r="BB440" s="100">
        <f t="shared" si="61"/>
        <v>0</v>
      </c>
      <c r="BC440" s="110" t="str">
        <f t="shared" si="62"/>
        <v/>
      </c>
      <c r="BD440" s="62"/>
    </row>
    <row r="441" spans="1:56" ht="19.5" customHeight="1" x14ac:dyDescent="0.45">
      <c r="A441" s="104" t="str">
        <f t="shared" si="63"/>
        <v/>
      </c>
      <c r="B441" s="5"/>
      <c r="C441" s="109"/>
      <c r="D441" s="107"/>
      <c r="E441" s="6"/>
      <c r="F441" s="85"/>
      <c r="G441" s="85"/>
      <c r="H441" s="104" t="str">
        <f t="shared" si="55"/>
        <v/>
      </c>
      <c r="I441" s="103" t="str">
        <f>IFERROR(INDEX(#REF!,MATCH(E441,#REF!,0)),"")</f>
        <v/>
      </c>
      <c r="J441" s="6"/>
      <c r="K441" s="103" t="str">
        <f t="shared" si="56"/>
        <v/>
      </c>
      <c r="L441" s="8"/>
      <c r="M441" s="102" t="str">
        <f t="shared" si="57"/>
        <v/>
      </c>
      <c r="N441" s="9"/>
      <c r="O441" s="103" t="str">
        <f t="shared" si="58"/>
        <v/>
      </c>
      <c r="P441" s="6"/>
      <c r="Q441" s="7"/>
      <c r="R441" s="10"/>
      <c r="S441" s="29" t="str">
        <f t="shared" ca="1" si="59"/>
        <v/>
      </c>
      <c r="T441" s="7"/>
      <c r="U441" s="74"/>
      <c r="V441" s="101">
        <f>IF(OR(T441="",U441=""),0,IFERROR(INDEX(#REF!,MATCH(T441,#REF!,0))*U441,0))</f>
        <v>0</v>
      </c>
      <c r="W441" s="7"/>
      <c r="X441" s="74"/>
      <c r="Y441" s="101">
        <f>IF(OR(W441="",X441=""),0,IFERROR(INDEX(#REF!,MATCH(W441,#REF!,0))*X441,0))</f>
        <v>0</v>
      </c>
      <c r="Z441" s="7"/>
      <c r="AA441" s="74"/>
      <c r="AB441" s="101">
        <f>IF(OR(Z441="",AA441=""),0,IFERROR(INDEX(#REF!,MATCH(Z441,#REF!,0))*AA441,0))</f>
        <v>0</v>
      </c>
      <c r="AC441" s="7"/>
      <c r="AD441" s="74"/>
      <c r="AE441" s="101">
        <f>IF(OR(AC441="",AD441=""),0,IFERROR(INDEX(#REF!,MATCH(AC441,#REF!,0))*AD441,0))</f>
        <v>0</v>
      </c>
      <c r="AF441" s="7"/>
      <c r="AG441" s="74"/>
      <c r="AH441" s="101">
        <f>IF(OR(AF441="",AG441=""),0,IFERROR(INDEX(#REF!,MATCH(AF441,#REF!,0))*AG441,0))</f>
        <v>0</v>
      </c>
      <c r="AI441" s="7"/>
      <c r="AJ441" s="74"/>
      <c r="AK441" s="101">
        <f>IF(OR(AI441="",AJ441=""),0,IFERROR(INDEX(#REF!,MATCH(AI441,#REF!,0))*AJ441,0))</f>
        <v>0</v>
      </c>
      <c r="AL441" s="101">
        <f t="shared" si="60"/>
        <v>0</v>
      </c>
      <c r="AM441" s="7"/>
      <c r="AN441" s="72"/>
      <c r="AO441" s="99">
        <f>IF(OR(AM441="",AN441=""),0,IFERROR(INDEX(#REF!,MATCH(AM441,#REF!,0))*AN441,0))</f>
        <v>0</v>
      </c>
      <c r="AP441" s="7"/>
      <c r="AQ441" s="74"/>
      <c r="AR441" s="99">
        <f>IF(OR(AP441="",AQ441=""),0,IFERROR(INDEX(#REF!,MATCH(AP441,#REF!,0))*AQ441,0))</f>
        <v>0</v>
      </c>
      <c r="AS441" s="7"/>
      <c r="AT441" s="74"/>
      <c r="AU441" s="99">
        <f>IF(OR(AS441="",AT441=""),0,IFERROR(INDEX(#REF!,MATCH(AS441,#REF!,0))*AT441,0))</f>
        <v>0</v>
      </c>
      <c r="AV441" s="7"/>
      <c r="AW441" s="74"/>
      <c r="AX441" s="99">
        <f>IF(OR(AV441="",AW441=""),0,IFERROR(INDEX(#REF!,MATCH(AV441,#REF!,0))*AW441,0))</f>
        <v>0</v>
      </c>
      <c r="AY441" s="7"/>
      <c r="AZ441" s="77"/>
      <c r="BA441" s="99">
        <f>IF(OR(AY441="",AZ441=""),0,IFERROR(INDEX(#REF!,MATCH(AY441,#REF!,0))*AZ441,0))</f>
        <v>0</v>
      </c>
      <c r="BB441" s="100">
        <f t="shared" si="61"/>
        <v>0</v>
      </c>
      <c r="BC441" s="110" t="str">
        <f t="shared" si="62"/>
        <v/>
      </c>
      <c r="BD441" s="62"/>
    </row>
    <row r="442" spans="1:56" ht="19.5" customHeight="1" x14ac:dyDescent="0.45">
      <c r="A442" s="104" t="str">
        <f t="shared" si="63"/>
        <v/>
      </c>
      <c r="B442" s="5"/>
      <c r="C442" s="109"/>
      <c r="D442" s="107"/>
      <c r="E442" s="6"/>
      <c r="F442" s="85"/>
      <c r="G442" s="85"/>
      <c r="H442" s="104" t="str">
        <f t="shared" si="55"/>
        <v/>
      </c>
      <c r="I442" s="103" t="str">
        <f>IFERROR(INDEX(#REF!,MATCH(E442,#REF!,0)),"")</f>
        <v/>
      </c>
      <c r="J442" s="6"/>
      <c r="K442" s="103" t="str">
        <f t="shared" si="56"/>
        <v/>
      </c>
      <c r="L442" s="8"/>
      <c r="M442" s="102" t="str">
        <f t="shared" si="57"/>
        <v/>
      </c>
      <c r="N442" s="9"/>
      <c r="O442" s="103" t="str">
        <f t="shared" si="58"/>
        <v/>
      </c>
      <c r="P442" s="6"/>
      <c r="Q442" s="7"/>
      <c r="R442" s="10"/>
      <c r="S442" s="29" t="str">
        <f t="shared" ca="1" si="59"/>
        <v/>
      </c>
      <c r="T442" s="7"/>
      <c r="U442" s="74"/>
      <c r="V442" s="101">
        <f>IF(OR(T442="",U442=""),0,IFERROR(INDEX(#REF!,MATCH(T442,#REF!,0))*U442,0))</f>
        <v>0</v>
      </c>
      <c r="W442" s="7"/>
      <c r="X442" s="74"/>
      <c r="Y442" s="101">
        <f>IF(OR(W442="",X442=""),0,IFERROR(INDEX(#REF!,MATCH(W442,#REF!,0))*X442,0))</f>
        <v>0</v>
      </c>
      <c r="Z442" s="7"/>
      <c r="AA442" s="74"/>
      <c r="AB442" s="101">
        <f>IF(OR(Z442="",AA442=""),0,IFERROR(INDEX(#REF!,MATCH(Z442,#REF!,0))*AA442,0))</f>
        <v>0</v>
      </c>
      <c r="AC442" s="7"/>
      <c r="AD442" s="74"/>
      <c r="AE442" s="101">
        <f>IF(OR(AC442="",AD442=""),0,IFERROR(INDEX(#REF!,MATCH(AC442,#REF!,0))*AD442,0))</f>
        <v>0</v>
      </c>
      <c r="AF442" s="7"/>
      <c r="AG442" s="74"/>
      <c r="AH442" s="101">
        <f>IF(OR(AF442="",AG442=""),0,IFERROR(INDEX(#REF!,MATCH(AF442,#REF!,0))*AG442,0))</f>
        <v>0</v>
      </c>
      <c r="AI442" s="7"/>
      <c r="AJ442" s="74"/>
      <c r="AK442" s="101">
        <f>IF(OR(AI442="",AJ442=""),0,IFERROR(INDEX(#REF!,MATCH(AI442,#REF!,0))*AJ442,0))</f>
        <v>0</v>
      </c>
      <c r="AL442" s="101">
        <f t="shared" si="60"/>
        <v>0</v>
      </c>
      <c r="AM442" s="7"/>
      <c r="AN442" s="72"/>
      <c r="AO442" s="99">
        <f>IF(OR(AM442="",AN442=""),0,IFERROR(INDEX(#REF!,MATCH(AM442,#REF!,0))*AN442,0))</f>
        <v>0</v>
      </c>
      <c r="AP442" s="7"/>
      <c r="AQ442" s="74"/>
      <c r="AR442" s="99">
        <f>IF(OR(AP442="",AQ442=""),0,IFERROR(INDEX(#REF!,MATCH(AP442,#REF!,0))*AQ442,0))</f>
        <v>0</v>
      </c>
      <c r="AS442" s="7"/>
      <c r="AT442" s="74"/>
      <c r="AU442" s="99">
        <f>IF(OR(AS442="",AT442=""),0,IFERROR(INDEX(#REF!,MATCH(AS442,#REF!,0))*AT442,0))</f>
        <v>0</v>
      </c>
      <c r="AV442" s="7"/>
      <c r="AW442" s="74"/>
      <c r="AX442" s="99">
        <f>IF(OR(AV442="",AW442=""),0,IFERROR(INDEX(#REF!,MATCH(AV442,#REF!,0))*AW442,0))</f>
        <v>0</v>
      </c>
      <c r="AY442" s="7"/>
      <c r="AZ442" s="77"/>
      <c r="BA442" s="99">
        <f>IF(OR(AY442="",AZ442=""),0,IFERROR(INDEX(#REF!,MATCH(AY442,#REF!,0))*AZ442,0))</f>
        <v>0</v>
      </c>
      <c r="BB442" s="100">
        <f t="shared" si="61"/>
        <v>0</v>
      </c>
      <c r="BC442" s="110" t="str">
        <f t="shared" si="62"/>
        <v/>
      </c>
      <c r="BD442" s="62"/>
    </row>
    <row r="443" spans="1:56" ht="19.5" customHeight="1" x14ac:dyDescent="0.45">
      <c r="A443" s="104" t="str">
        <f t="shared" si="63"/>
        <v/>
      </c>
      <c r="B443" s="5"/>
      <c r="C443" s="109"/>
      <c r="D443" s="107"/>
      <c r="E443" s="6"/>
      <c r="F443" s="85"/>
      <c r="G443" s="85"/>
      <c r="H443" s="104" t="str">
        <f t="shared" si="55"/>
        <v/>
      </c>
      <c r="I443" s="103" t="str">
        <f>IFERROR(INDEX(#REF!,MATCH(E443,#REF!,0)),"")</f>
        <v/>
      </c>
      <c r="J443" s="6"/>
      <c r="K443" s="103" t="str">
        <f t="shared" si="56"/>
        <v/>
      </c>
      <c r="L443" s="8"/>
      <c r="M443" s="102" t="str">
        <f t="shared" si="57"/>
        <v/>
      </c>
      <c r="N443" s="9"/>
      <c r="O443" s="103" t="str">
        <f t="shared" si="58"/>
        <v/>
      </c>
      <c r="P443" s="6"/>
      <c r="Q443" s="7"/>
      <c r="R443" s="10"/>
      <c r="S443" s="29" t="str">
        <f t="shared" ca="1" si="59"/>
        <v/>
      </c>
      <c r="T443" s="7"/>
      <c r="U443" s="74"/>
      <c r="V443" s="101">
        <f>IF(OR(T443="",U443=""),0,IFERROR(INDEX(#REF!,MATCH(T443,#REF!,0))*U443,0))</f>
        <v>0</v>
      </c>
      <c r="W443" s="7"/>
      <c r="X443" s="74"/>
      <c r="Y443" s="101">
        <f>IF(OR(W443="",X443=""),0,IFERROR(INDEX(#REF!,MATCH(W443,#REF!,0))*X443,0))</f>
        <v>0</v>
      </c>
      <c r="Z443" s="7"/>
      <c r="AA443" s="74"/>
      <c r="AB443" s="101">
        <f>IF(OR(Z443="",AA443=""),0,IFERROR(INDEX(#REF!,MATCH(Z443,#REF!,0))*AA443,0))</f>
        <v>0</v>
      </c>
      <c r="AC443" s="7"/>
      <c r="AD443" s="74"/>
      <c r="AE443" s="101">
        <f>IF(OR(AC443="",AD443=""),0,IFERROR(INDEX(#REF!,MATCH(AC443,#REF!,0))*AD443,0))</f>
        <v>0</v>
      </c>
      <c r="AF443" s="7"/>
      <c r="AG443" s="74"/>
      <c r="AH443" s="101">
        <f>IF(OR(AF443="",AG443=""),0,IFERROR(INDEX(#REF!,MATCH(AF443,#REF!,0))*AG443,0))</f>
        <v>0</v>
      </c>
      <c r="AI443" s="7"/>
      <c r="AJ443" s="74"/>
      <c r="AK443" s="101">
        <f>IF(OR(AI443="",AJ443=""),0,IFERROR(INDEX(#REF!,MATCH(AI443,#REF!,0))*AJ443,0))</f>
        <v>0</v>
      </c>
      <c r="AL443" s="101">
        <f t="shared" si="60"/>
        <v>0</v>
      </c>
      <c r="AM443" s="7"/>
      <c r="AN443" s="72"/>
      <c r="AO443" s="99">
        <f>IF(OR(AM443="",AN443=""),0,IFERROR(INDEX(#REF!,MATCH(AM443,#REF!,0))*AN443,0))</f>
        <v>0</v>
      </c>
      <c r="AP443" s="7"/>
      <c r="AQ443" s="74"/>
      <c r="AR443" s="99">
        <f>IF(OR(AP443="",AQ443=""),0,IFERROR(INDEX(#REF!,MATCH(AP443,#REF!,0))*AQ443,0))</f>
        <v>0</v>
      </c>
      <c r="AS443" s="7"/>
      <c r="AT443" s="74"/>
      <c r="AU443" s="99">
        <f>IF(OR(AS443="",AT443=""),0,IFERROR(INDEX(#REF!,MATCH(AS443,#REF!,0))*AT443,0))</f>
        <v>0</v>
      </c>
      <c r="AV443" s="7"/>
      <c r="AW443" s="74"/>
      <c r="AX443" s="99">
        <f>IF(OR(AV443="",AW443=""),0,IFERROR(INDEX(#REF!,MATCH(AV443,#REF!,0))*AW443,0))</f>
        <v>0</v>
      </c>
      <c r="AY443" s="7"/>
      <c r="AZ443" s="77"/>
      <c r="BA443" s="99">
        <f>IF(OR(AY443="",AZ443=""),0,IFERROR(INDEX(#REF!,MATCH(AY443,#REF!,0))*AZ443,0))</f>
        <v>0</v>
      </c>
      <c r="BB443" s="100">
        <f t="shared" si="61"/>
        <v>0</v>
      </c>
      <c r="BC443" s="110" t="str">
        <f t="shared" si="62"/>
        <v/>
      </c>
      <c r="BD443" s="62"/>
    </row>
    <row r="444" spans="1:56" ht="19.5" customHeight="1" x14ac:dyDescent="0.45">
      <c r="A444" s="104" t="str">
        <f t="shared" si="63"/>
        <v/>
      </c>
      <c r="B444" s="5"/>
      <c r="C444" s="109"/>
      <c r="D444" s="107"/>
      <c r="E444" s="6"/>
      <c r="F444" s="85"/>
      <c r="G444" s="85"/>
      <c r="H444" s="104" t="str">
        <f t="shared" si="55"/>
        <v/>
      </c>
      <c r="I444" s="103" t="str">
        <f>IFERROR(INDEX(#REF!,MATCH(E444,#REF!,0)),"")</f>
        <v/>
      </c>
      <c r="J444" s="6"/>
      <c r="K444" s="103" t="str">
        <f t="shared" si="56"/>
        <v/>
      </c>
      <c r="L444" s="8"/>
      <c r="M444" s="102" t="str">
        <f t="shared" si="57"/>
        <v/>
      </c>
      <c r="N444" s="9"/>
      <c r="O444" s="103" t="str">
        <f t="shared" si="58"/>
        <v/>
      </c>
      <c r="P444" s="6"/>
      <c r="Q444" s="7"/>
      <c r="R444" s="10"/>
      <c r="S444" s="29" t="str">
        <f t="shared" ca="1" si="59"/>
        <v/>
      </c>
      <c r="T444" s="7"/>
      <c r="U444" s="74"/>
      <c r="V444" s="101">
        <f>IF(OR(T444="",U444=""),0,IFERROR(INDEX(#REF!,MATCH(T444,#REF!,0))*U444,0))</f>
        <v>0</v>
      </c>
      <c r="W444" s="7"/>
      <c r="X444" s="74"/>
      <c r="Y444" s="101">
        <f>IF(OR(W444="",X444=""),0,IFERROR(INDEX(#REF!,MATCH(W444,#REF!,0))*X444,0))</f>
        <v>0</v>
      </c>
      <c r="Z444" s="7"/>
      <c r="AA444" s="74"/>
      <c r="AB444" s="101">
        <f>IF(OR(Z444="",AA444=""),0,IFERROR(INDEX(#REF!,MATCH(Z444,#REF!,0))*AA444,0))</f>
        <v>0</v>
      </c>
      <c r="AC444" s="7"/>
      <c r="AD444" s="74"/>
      <c r="AE444" s="101">
        <f>IF(OR(AC444="",AD444=""),0,IFERROR(INDEX(#REF!,MATCH(AC444,#REF!,0))*AD444,0))</f>
        <v>0</v>
      </c>
      <c r="AF444" s="7"/>
      <c r="AG444" s="74"/>
      <c r="AH444" s="101">
        <f>IF(OR(AF444="",AG444=""),0,IFERROR(INDEX(#REF!,MATCH(AF444,#REF!,0))*AG444,0))</f>
        <v>0</v>
      </c>
      <c r="AI444" s="7"/>
      <c r="AJ444" s="74"/>
      <c r="AK444" s="101">
        <f>IF(OR(AI444="",AJ444=""),0,IFERROR(INDEX(#REF!,MATCH(AI444,#REF!,0))*AJ444,0))</f>
        <v>0</v>
      </c>
      <c r="AL444" s="101">
        <f t="shared" si="60"/>
        <v>0</v>
      </c>
      <c r="AM444" s="7"/>
      <c r="AN444" s="72"/>
      <c r="AO444" s="99">
        <f>IF(OR(AM444="",AN444=""),0,IFERROR(INDEX(#REF!,MATCH(AM444,#REF!,0))*AN444,0))</f>
        <v>0</v>
      </c>
      <c r="AP444" s="7"/>
      <c r="AQ444" s="74"/>
      <c r="AR444" s="99">
        <f>IF(OR(AP444="",AQ444=""),0,IFERROR(INDEX(#REF!,MATCH(AP444,#REF!,0))*AQ444,0))</f>
        <v>0</v>
      </c>
      <c r="AS444" s="7"/>
      <c r="AT444" s="74"/>
      <c r="AU444" s="99">
        <f>IF(OR(AS444="",AT444=""),0,IFERROR(INDEX(#REF!,MATCH(AS444,#REF!,0))*AT444,0))</f>
        <v>0</v>
      </c>
      <c r="AV444" s="7"/>
      <c r="AW444" s="74"/>
      <c r="AX444" s="99">
        <f>IF(OR(AV444="",AW444=""),0,IFERROR(INDEX(#REF!,MATCH(AV444,#REF!,0))*AW444,0))</f>
        <v>0</v>
      </c>
      <c r="AY444" s="7"/>
      <c r="AZ444" s="77"/>
      <c r="BA444" s="99">
        <f>IF(OR(AY444="",AZ444=""),0,IFERROR(INDEX(#REF!,MATCH(AY444,#REF!,0))*AZ444,0))</f>
        <v>0</v>
      </c>
      <c r="BB444" s="100">
        <f t="shared" si="61"/>
        <v>0</v>
      </c>
      <c r="BC444" s="110" t="str">
        <f t="shared" si="62"/>
        <v/>
      </c>
      <c r="BD444" s="62"/>
    </row>
    <row r="445" spans="1:56" ht="19.5" customHeight="1" x14ac:dyDescent="0.45">
      <c r="A445" s="104" t="str">
        <f t="shared" si="63"/>
        <v/>
      </c>
      <c r="B445" s="5"/>
      <c r="C445" s="109"/>
      <c r="D445" s="107"/>
      <c r="E445" s="6"/>
      <c r="F445" s="85"/>
      <c r="G445" s="85"/>
      <c r="H445" s="104" t="str">
        <f t="shared" si="55"/>
        <v/>
      </c>
      <c r="I445" s="103" t="str">
        <f>IFERROR(INDEX(#REF!,MATCH(E445,#REF!,0)),"")</f>
        <v/>
      </c>
      <c r="J445" s="6"/>
      <c r="K445" s="103" t="str">
        <f t="shared" si="56"/>
        <v/>
      </c>
      <c r="L445" s="8"/>
      <c r="M445" s="102" t="str">
        <f t="shared" si="57"/>
        <v/>
      </c>
      <c r="N445" s="9"/>
      <c r="O445" s="103" t="str">
        <f t="shared" si="58"/>
        <v/>
      </c>
      <c r="P445" s="6"/>
      <c r="Q445" s="7"/>
      <c r="R445" s="10"/>
      <c r="S445" s="29" t="str">
        <f t="shared" ca="1" si="59"/>
        <v/>
      </c>
      <c r="T445" s="7"/>
      <c r="U445" s="74"/>
      <c r="V445" s="101">
        <f>IF(OR(T445="",U445=""),0,IFERROR(INDEX(#REF!,MATCH(T445,#REF!,0))*U445,0))</f>
        <v>0</v>
      </c>
      <c r="W445" s="7"/>
      <c r="X445" s="74"/>
      <c r="Y445" s="101">
        <f>IF(OR(W445="",X445=""),0,IFERROR(INDEX(#REF!,MATCH(W445,#REF!,0))*X445,0))</f>
        <v>0</v>
      </c>
      <c r="Z445" s="7"/>
      <c r="AA445" s="74"/>
      <c r="AB445" s="101">
        <f>IF(OR(Z445="",AA445=""),0,IFERROR(INDEX(#REF!,MATCH(Z445,#REF!,0))*AA445,0))</f>
        <v>0</v>
      </c>
      <c r="AC445" s="7"/>
      <c r="AD445" s="74"/>
      <c r="AE445" s="101">
        <f>IF(OR(AC445="",AD445=""),0,IFERROR(INDEX(#REF!,MATCH(AC445,#REF!,0))*AD445,0))</f>
        <v>0</v>
      </c>
      <c r="AF445" s="7"/>
      <c r="AG445" s="74"/>
      <c r="AH445" s="101">
        <f>IF(OR(AF445="",AG445=""),0,IFERROR(INDEX(#REF!,MATCH(AF445,#REF!,0))*AG445,0))</f>
        <v>0</v>
      </c>
      <c r="AI445" s="7"/>
      <c r="AJ445" s="74"/>
      <c r="AK445" s="101">
        <f>IF(OR(AI445="",AJ445=""),0,IFERROR(INDEX(#REF!,MATCH(AI445,#REF!,0))*AJ445,0))</f>
        <v>0</v>
      </c>
      <c r="AL445" s="101">
        <f t="shared" si="60"/>
        <v>0</v>
      </c>
      <c r="AM445" s="7"/>
      <c r="AN445" s="72"/>
      <c r="AO445" s="99">
        <f>IF(OR(AM445="",AN445=""),0,IFERROR(INDEX(#REF!,MATCH(AM445,#REF!,0))*AN445,0))</f>
        <v>0</v>
      </c>
      <c r="AP445" s="7"/>
      <c r="AQ445" s="74"/>
      <c r="AR445" s="99">
        <f>IF(OR(AP445="",AQ445=""),0,IFERROR(INDEX(#REF!,MATCH(AP445,#REF!,0))*AQ445,0))</f>
        <v>0</v>
      </c>
      <c r="AS445" s="7"/>
      <c r="AT445" s="74"/>
      <c r="AU445" s="99">
        <f>IF(OR(AS445="",AT445=""),0,IFERROR(INDEX(#REF!,MATCH(AS445,#REF!,0))*AT445,0))</f>
        <v>0</v>
      </c>
      <c r="AV445" s="7"/>
      <c r="AW445" s="74"/>
      <c r="AX445" s="99">
        <f>IF(OR(AV445="",AW445=""),0,IFERROR(INDEX(#REF!,MATCH(AV445,#REF!,0))*AW445,0))</f>
        <v>0</v>
      </c>
      <c r="AY445" s="7"/>
      <c r="AZ445" s="77"/>
      <c r="BA445" s="99">
        <f>IF(OR(AY445="",AZ445=""),0,IFERROR(INDEX(#REF!,MATCH(AY445,#REF!,0))*AZ445,0))</f>
        <v>0</v>
      </c>
      <c r="BB445" s="100">
        <f t="shared" si="61"/>
        <v>0</v>
      </c>
      <c r="BC445" s="110" t="str">
        <f t="shared" si="62"/>
        <v/>
      </c>
      <c r="BD445" s="62"/>
    </row>
    <row r="446" spans="1:56" ht="19.5" customHeight="1" x14ac:dyDescent="0.45">
      <c r="A446" s="104" t="str">
        <f t="shared" si="63"/>
        <v/>
      </c>
      <c r="B446" s="5"/>
      <c r="C446" s="109"/>
      <c r="D446" s="107"/>
      <c r="E446" s="6"/>
      <c r="F446" s="85"/>
      <c r="G446" s="85"/>
      <c r="H446" s="104" t="str">
        <f t="shared" si="55"/>
        <v/>
      </c>
      <c r="I446" s="103" t="str">
        <f>IFERROR(INDEX(#REF!,MATCH(E446,#REF!,0)),"")</f>
        <v/>
      </c>
      <c r="J446" s="6"/>
      <c r="K446" s="103" t="str">
        <f t="shared" si="56"/>
        <v/>
      </c>
      <c r="L446" s="8"/>
      <c r="M446" s="102" t="str">
        <f t="shared" si="57"/>
        <v/>
      </c>
      <c r="N446" s="9"/>
      <c r="O446" s="103" t="str">
        <f t="shared" si="58"/>
        <v/>
      </c>
      <c r="P446" s="6"/>
      <c r="Q446" s="7"/>
      <c r="R446" s="10"/>
      <c r="S446" s="29" t="str">
        <f t="shared" ca="1" si="59"/>
        <v/>
      </c>
      <c r="T446" s="7"/>
      <c r="U446" s="74"/>
      <c r="V446" s="101">
        <f>IF(OR(T446="",U446=""),0,IFERROR(INDEX(#REF!,MATCH(T446,#REF!,0))*U446,0))</f>
        <v>0</v>
      </c>
      <c r="W446" s="7"/>
      <c r="X446" s="74"/>
      <c r="Y446" s="101">
        <f>IF(OR(W446="",X446=""),0,IFERROR(INDEX(#REF!,MATCH(W446,#REF!,0))*X446,0))</f>
        <v>0</v>
      </c>
      <c r="Z446" s="7"/>
      <c r="AA446" s="74"/>
      <c r="AB446" s="101">
        <f>IF(OR(Z446="",AA446=""),0,IFERROR(INDEX(#REF!,MATCH(Z446,#REF!,0))*AA446,0))</f>
        <v>0</v>
      </c>
      <c r="AC446" s="7"/>
      <c r="AD446" s="74"/>
      <c r="AE446" s="101">
        <f>IF(OR(AC446="",AD446=""),0,IFERROR(INDEX(#REF!,MATCH(AC446,#REF!,0))*AD446,0))</f>
        <v>0</v>
      </c>
      <c r="AF446" s="7"/>
      <c r="AG446" s="74"/>
      <c r="AH446" s="101">
        <f>IF(OR(AF446="",AG446=""),0,IFERROR(INDEX(#REF!,MATCH(AF446,#REF!,0))*AG446,0))</f>
        <v>0</v>
      </c>
      <c r="AI446" s="7"/>
      <c r="AJ446" s="74"/>
      <c r="AK446" s="101">
        <f>IF(OR(AI446="",AJ446=""),0,IFERROR(INDEX(#REF!,MATCH(AI446,#REF!,0))*AJ446,0))</f>
        <v>0</v>
      </c>
      <c r="AL446" s="101">
        <f t="shared" si="60"/>
        <v>0</v>
      </c>
      <c r="AM446" s="7"/>
      <c r="AN446" s="72"/>
      <c r="AO446" s="99">
        <f>IF(OR(AM446="",AN446=""),0,IFERROR(INDEX(#REF!,MATCH(AM446,#REF!,0))*AN446,0))</f>
        <v>0</v>
      </c>
      <c r="AP446" s="7"/>
      <c r="AQ446" s="74"/>
      <c r="AR446" s="99">
        <f>IF(OR(AP446="",AQ446=""),0,IFERROR(INDEX(#REF!,MATCH(AP446,#REF!,0))*AQ446,0))</f>
        <v>0</v>
      </c>
      <c r="AS446" s="7"/>
      <c r="AT446" s="74"/>
      <c r="AU446" s="99">
        <f>IF(OR(AS446="",AT446=""),0,IFERROR(INDEX(#REF!,MATCH(AS446,#REF!,0))*AT446,0))</f>
        <v>0</v>
      </c>
      <c r="AV446" s="7"/>
      <c r="AW446" s="74"/>
      <c r="AX446" s="99">
        <f>IF(OR(AV446="",AW446=""),0,IFERROR(INDEX(#REF!,MATCH(AV446,#REF!,0))*AW446,0))</f>
        <v>0</v>
      </c>
      <c r="AY446" s="7"/>
      <c r="AZ446" s="77"/>
      <c r="BA446" s="99">
        <f>IF(OR(AY446="",AZ446=""),0,IFERROR(INDEX(#REF!,MATCH(AY446,#REF!,0))*AZ446,0))</f>
        <v>0</v>
      </c>
      <c r="BB446" s="100">
        <f t="shared" si="61"/>
        <v>0</v>
      </c>
      <c r="BC446" s="110" t="str">
        <f t="shared" si="62"/>
        <v/>
      </c>
      <c r="BD446" s="62"/>
    </row>
    <row r="447" spans="1:56" ht="19.5" customHeight="1" x14ac:dyDescent="0.45">
      <c r="A447" s="104" t="str">
        <f t="shared" si="63"/>
        <v/>
      </c>
      <c r="B447" s="5"/>
      <c r="C447" s="109"/>
      <c r="D447" s="107"/>
      <c r="E447" s="6"/>
      <c r="F447" s="85"/>
      <c r="G447" s="85"/>
      <c r="H447" s="104" t="str">
        <f t="shared" si="55"/>
        <v/>
      </c>
      <c r="I447" s="103" t="str">
        <f>IFERROR(INDEX(#REF!,MATCH(E447,#REF!,0)),"")</f>
        <v/>
      </c>
      <c r="J447" s="6"/>
      <c r="K447" s="103" t="str">
        <f t="shared" si="56"/>
        <v/>
      </c>
      <c r="L447" s="8"/>
      <c r="M447" s="102" t="str">
        <f t="shared" si="57"/>
        <v/>
      </c>
      <c r="N447" s="9"/>
      <c r="O447" s="103" t="str">
        <f t="shared" si="58"/>
        <v/>
      </c>
      <c r="P447" s="6"/>
      <c r="Q447" s="7"/>
      <c r="R447" s="10"/>
      <c r="S447" s="29" t="str">
        <f t="shared" ca="1" si="59"/>
        <v/>
      </c>
      <c r="T447" s="7"/>
      <c r="U447" s="74"/>
      <c r="V447" s="101">
        <f>IF(OR(T447="",U447=""),0,IFERROR(INDEX(#REF!,MATCH(T447,#REF!,0))*U447,0))</f>
        <v>0</v>
      </c>
      <c r="W447" s="7"/>
      <c r="X447" s="74"/>
      <c r="Y447" s="101">
        <f>IF(OR(W447="",X447=""),0,IFERROR(INDEX(#REF!,MATCH(W447,#REF!,0))*X447,0))</f>
        <v>0</v>
      </c>
      <c r="Z447" s="7"/>
      <c r="AA447" s="74"/>
      <c r="AB447" s="101">
        <f>IF(OR(Z447="",AA447=""),0,IFERROR(INDEX(#REF!,MATCH(Z447,#REF!,0))*AA447,0))</f>
        <v>0</v>
      </c>
      <c r="AC447" s="7"/>
      <c r="AD447" s="74"/>
      <c r="AE447" s="101">
        <f>IF(OR(AC447="",AD447=""),0,IFERROR(INDEX(#REF!,MATCH(AC447,#REF!,0))*AD447,0))</f>
        <v>0</v>
      </c>
      <c r="AF447" s="7"/>
      <c r="AG447" s="74"/>
      <c r="AH447" s="101">
        <f>IF(OR(AF447="",AG447=""),0,IFERROR(INDEX(#REF!,MATCH(AF447,#REF!,0))*AG447,0))</f>
        <v>0</v>
      </c>
      <c r="AI447" s="7"/>
      <c r="AJ447" s="74"/>
      <c r="AK447" s="101">
        <f>IF(OR(AI447="",AJ447=""),0,IFERROR(INDEX(#REF!,MATCH(AI447,#REF!,0))*AJ447,0))</f>
        <v>0</v>
      </c>
      <c r="AL447" s="101">
        <f t="shared" si="60"/>
        <v>0</v>
      </c>
      <c r="AM447" s="7"/>
      <c r="AN447" s="72"/>
      <c r="AO447" s="99">
        <f>IF(OR(AM447="",AN447=""),0,IFERROR(INDEX(#REF!,MATCH(AM447,#REF!,0))*AN447,0))</f>
        <v>0</v>
      </c>
      <c r="AP447" s="7"/>
      <c r="AQ447" s="74"/>
      <c r="AR447" s="99">
        <f>IF(OR(AP447="",AQ447=""),0,IFERROR(INDEX(#REF!,MATCH(AP447,#REF!,0))*AQ447,0))</f>
        <v>0</v>
      </c>
      <c r="AS447" s="7"/>
      <c r="AT447" s="74"/>
      <c r="AU447" s="99">
        <f>IF(OR(AS447="",AT447=""),0,IFERROR(INDEX(#REF!,MATCH(AS447,#REF!,0))*AT447,0))</f>
        <v>0</v>
      </c>
      <c r="AV447" s="7"/>
      <c r="AW447" s="74"/>
      <c r="AX447" s="99">
        <f>IF(OR(AV447="",AW447=""),0,IFERROR(INDEX(#REF!,MATCH(AV447,#REF!,0))*AW447,0))</f>
        <v>0</v>
      </c>
      <c r="AY447" s="7"/>
      <c r="AZ447" s="77"/>
      <c r="BA447" s="99">
        <f>IF(OR(AY447="",AZ447=""),0,IFERROR(INDEX(#REF!,MATCH(AY447,#REF!,0))*AZ447,0))</f>
        <v>0</v>
      </c>
      <c r="BB447" s="100">
        <f t="shared" si="61"/>
        <v>0</v>
      </c>
      <c r="BC447" s="110" t="str">
        <f t="shared" si="62"/>
        <v/>
      </c>
      <c r="BD447" s="62"/>
    </row>
    <row r="448" spans="1:56" ht="19.5" customHeight="1" x14ac:dyDescent="0.45">
      <c r="A448" s="104" t="str">
        <f t="shared" si="63"/>
        <v/>
      </c>
      <c r="B448" s="5"/>
      <c r="C448" s="109"/>
      <c r="D448" s="107"/>
      <c r="E448" s="6"/>
      <c r="F448" s="85"/>
      <c r="G448" s="85"/>
      <c r="H448" s="104" t="str">
        <f t="shared" si="55"/>
        <v/>
      </c>
      <c r="I448" s="103" t="str">
        <f>IFERROR(INDEX(#REF!,MATCH(E448,#REF!,0)),"")</f>
        <v/>
      </c>
      <c r="J448" s="6"/>
      <c r="K448" s="103" t="str">
        <f t="shared" si="56"/>
        <v/>
      </c>
      <c r="L448" s="8"/>
      <c r="M448" s="102" t="str">
        <f t="shared" si="57"/>
        <v/>
      </c>
      <c r="N448" s="9"/>
      <c r="O448" s="103" t="str">
        <f t="shared" si="58"/>
        <v/>
      </c>
      <c r="P448" s="6"/>
      <c r="Q448" s="7"/>
      <c r="R448" s="10"/>
      <c r="S448" s="29" t="str">
        <f t="shared" ca="1" si="59"/>
        <v/>
      </c>
      <c r="T448" s="7"/>
      <c r="U448" s="74"/>
      <c r="V448" s="101">
        <f>IF(OR(T448="",U448=""),0,IFERROR(INDEX(#REF!,MATCH(T448,#REF!,0))*U448,0))</f>
        <v>0</v>
      </c>
      <c r="W448" s="7"/>
      <c r="X448" s="74"/>
      <c r="Y448" s="101">
        <f>IF(OR(W448="",X448=""),0,IFERROR(INDEX(#REF!,MATCH(W448,#REF!,0))*X448,0))</f>
        <v>0</v>
      </c>
      <c r="Z448" s="7"/>
      <c r="AA448" s="74"/>
      <c r="AB448" s="101">
        <f>IF(OR(Z448="",AA448=""),0,IFERROR(INDEX(#REF!,MATCH(Z448,#REF!,0))*AA448,0))</f>
        <v>0</v>
      </c>
      <c r="AC448" s="7"/>
      <c r="AD448" s="74"/>
      <c r="AE448" s="101">
        <f>IF(OR(AC448="",AD448=""),0,IFERROR(INDEX(#REF!,MATCH(AC448,#REF!,0))*AD448,0))</f>
        <v>0</v>
      </c>
      <c r="AF448" s="7"/>
      <c r="AG448" s="74"/>
      <c r="AH448" s="101">
        <f>IF(OR(AF448="",AG448=""),0,IFERROR(INDEX(#REF!,MATCH(AF448,#REF!,0))*AG448,0))</f>
        <v>0</v>
      </c>
      <c r="AI448" s="7"/>
      <c r="AJ448" s="74"/>
      <c r="AK448" s="101">
        <f>IF(OR(AI448="",AJ448=""),0,IFERROR(INDEX(#REF!,MATCH(AI448,#REF!,0))*AJ448,0))</f>
        <v>0</v>
      </c>
      <c r="AL448" s="101">
        <f t="shared" si="60"/>
        <v>0</v>
      </c>
      <c r="AM448" s="7"/>
      <c r="AN448" s="72"/>
      <c r="AO448" s="99">
        <f>IF(OR(AM448="",AN448=""),0,IFERROR(INDEX(#REF!,MATCH(AM448,#REF!,0))*AN448,0))</f>
        <v>0</v>
      </c>
      <c r="AP448" s="7"/>
      <c r="AQ448" s="74"/>
      <c r="AR448" s="99">
        <f>IF(OR(AP448="",AQ448=""),0,IFERROR(INDEX(#REF!,MATCH(AP448,#REF!,0))*AQ448,0))</f>
        <v>0</v>
      </c>
      <c r="AS448" s="7"/>
      <c r="AT448" s="74"/>
      <c r="AU448" s="99">
        <f>IF(OR(AS448="",AT448=""),0,IFERROR(INDEX(#REF!,MATCH(AS448,#REF!,0))*AT448,0))</f>
        <v>0</v>
      </c>
      <c r="AV448" s="7"/>
      <c r="AW448" s="74"/>
      <c r="AX448" s="99">
        <f>IF(OR(AV448="",AW448=""),0,IFERROR(INDEX(#REF!,MATCH(AV448,#REF!,0))*AW448,0))</f>
        <v>0</v>
      </c>
      <c r="AY448" s="7"/>
      <c r="AZ448" s="77"/>
      <c r="BA448" s="99">
        <f>IF(OR(AY448="",AZ448=""),0,IFERROR(INDEX(#REF!,MATCH(AY448,#REF!,0))*AZ448,0))</f>
        <v>0</v>
      </c>
      <c r="BB448" s="100">
        <f t="shared" si="61"/>
        <v>0</v>
      </c>
      <c r="BC448" s="110" t="str">
        <f t="shared" si="62"/>
        <v/>
      </c>
      <c r="BD448" s="62"/>
    </row>
    <row r="449" spans="1:56" ht="19.5" customHeight="1" x14ac:dyDescent="0.45">
      <c r="A449" s="104" t="str">
        <f t="shared" si="63"/>
        <v/>
      </c>
      <c r="B449" s="5"/>
      <c r="C449" s="109"/>
      <c r="D449" s="107"/>
      <c r="E449" s="6"/>
      <c r="F449" s="85"/>
      <c r="G449" s="85"/>
      <c r="H449" s="104" t="str">
        <f t="shared" si="55"/>
        <v/>
      </c>
      <c r="I449" s="103" t="str">
        <f>IFERROR(INDEX(#REF!,MATCH(E449,#REF!,0)),"")</f>
        <v/>
      </c>
      <c r="J449" s="6"/>
      <c r="K449" s="103" t="str">
        <f t="shared" si="56"/>
        <v/>
      </c>
      <c r="L449" s="8"/>
      <c r="M449" s="102" t="str">
        <f t="shared" si="57"/>
        <v/>
      </c>
      <c r="N449" s="9"/>
      <c r="O449" s="103" t="str">
        <f t="shared" si="58"/>
        <v/>
      </c>
      <c r="P449" s="6"/>
      <c r="Q449" s="7"/>
      <c r="R449" s="10"/>
      <c r="S449" s="29" t="str">
        <f t="shared" ca="1" si="59"/>
        <v/>
      </c>
      <c r="T449" s="7"/>
      <c r="U449" s="74"/>
      <c r="V449" s="101">
        <f>IF(OR(T449="",U449=""),0,IFERROR(INDEX(#REF!,MATCH(T449,#REF!,0))*U449,0))</f>
        <v>0</v>
      </c>
      <c r="W449" s="7"/>
      <c r="X449" s="74"/>
      <c r="Y449" s="101">
        <f>IF(OR(W449="",X449=""),0,IFERROR(INDEX(#REF!,MATCH(W449,#REF!,0))*X449,0))</f>
        <v>0</v>
      </c>
      <c r="Z449" s="7"/>
      <c r="AA449" s="74"/>
      <c r="AB449" s="101">
        <f>IF(OR(Z449="",AA449=""),0,IFERROR(INDEX(#REF!,MATCH(Z449,#REF!,0))*AA449,0))</f>
        <v>0</v>
      </c>
      <c r="AC449" s="7"/>
      <c r="AD449" s="74"/>
      <c r="AE449" s="101">
        <f>IF(OR(AC449="",AD449=""),0,IFERROR(INDEX(#REF!,MATCH(AC449,#REF!,0))*AD449,0))</f>
        <v>0</v>
      </c>
      <c r="AF449" s="7"/>
      <c r="AG449" s="74"/>
      <c r="AH449" s="101">
        <f>IF(OR(AF449="",AG449=""),0,IFERROR(INDEX(#REF!,MATCH(AF449,#REF!,0))*AG449,0))</f>
        <v>0</v>
      </c>
      <c r="AI449" s="7"/>
      <c r="AJ449" s="74"/>
      <c r="AK449" s="101">
        <f>IF(OR(AI449="",AJ449=""),0,IFERROR(INDEX(#REF!,MATCH(AI449,#REF!,0))*AJ449,0))</f>
        <v>0</v>
      </c>
      <c r="AL449" s="101">
        <f t="shared" si="60"/>
        <v>0</v>
      </c>
      <c r="AM449" s="7"/>
      <c r="AN449" s="72"/>
      <c r="AO449" s="99">
        <f>IF(OR(AM449="",AN449=""),0,IFERROR(INDEX(#REF!,MATCH(AM449,#REF!,0))*AN449,0))</f>
        <v>0</v>
      </c>
      <c r="AP449" s="7"/>
      <c r="AQ449" s="74"/>
      <c r="AR449" s="99">
        <f>IF(OR(AP449="",AQ449=""),0,IFERROR(INDEX(#REF!,MATCH(AP449,#REF!,0))*AQ449,0))</f>
        <v>0</v>
      </c>
      <c r="AS449" s="7"/>
      <c r="AT449" s="74"/>
      <c r="AU449" s="99">
        <f>IF(OR(AS449="",AT449=""),0,IFERROR(INDEX(#REF!,MATCH(AS449,#REF!,0))*AT449,0))</f>
        <v>0</v>
      </c>
      <c r="AV449" s="7"/>
      <c r="AW449" s="74"/>
      <c r="AX449" s="99">
        <f>IF(OR(AV449="",AW449=""),0,IFERROR(INDEX(#REF!,MATCH(AV449,#REF!,0))*AW449,0))</f>
        <v>0</v>
      </c>
      <c r="AY449" s="7"/>
      <c r="AZ449" s="77"/>
      <c r="BA449" s="99">
        <f>IF(OR(AY449="",AZ449=""),0,IFERROR(INDEX(#REF!,MATCH(AY449,#REF!,0))*AZ449,0))</f>
        <v>0</v>
      </c>
      <c r="BB449" s="100">
        <f t="shared" si="61"/>
        <v>0</v>
      </c>
      <c r="BC449" s="110" t="str">
        <f t="shared" si="62"/>
        <v/>
      </c>
      <c r="BD449" s="62"/>
    </row>
    <row r="450" spans="1:56" ht="19.5" customHeight="1" x14ac:dyDescent="0.45">
      <c r="A450" s="104" t="str">
        <f t="shared" si="63"/>
        <v/>
      </c>
      <c r="B450" s="5"/>
      <c r="C450" s="109"/>
      <c r="D450" s="107"/>
      <c r="E450" s="6"/>
      <c r="F450" s="85"/>
      <c r="G450" s="85"/>
      <c r="H450" s="104" t="str">
        <f t="shared" si="55"/>
        <v/>
      </c>
      <c r="I450" s="103" t="str">
        <f>IFERROR(INDEX(#REF!,MATCH(E450,#REF!,0)),"")</f>
        <v/>
      </c>
      <c r="J450" s="6"/>
      <c r="K450" s="103" t="str">
        <f t="shared" si="56"/>
        <v/>
      </c>
      <c r="L450" s="8"/>
      <c r="M450" s="102" t="str">
        <f t="shared" si="57"/>
        <v/>
      </c>
      <c r="N450" s="9"/>
      <c r="O450" s="103" t="str">
        <f t="shared" si="58"/>
        <v/>
      </c>
      <c r="P450" s="6"/>
      <c r="Q450" s="7"/>
      <c r="R450" s="10"/>
      <c r="S450" s="29" t="str">
        <f t="shared" ca="1" si="59"/>
        <v/>
      </c>
      <c r="T450" s="7"/>
      <c r="U450" s="74"/>
      <c r="V450" s="101">
        <f>IF(OR(T450="",U450=""),0,IFERROR(INDEX(#REF!,MATCH(T450,#REF!,0))*U450,0))</f>
        <v>0</v>
      </c>
      <c r="W450" s="7"/>
      <c r="X450" s="74"/>
      <c r="Y450" s="101">
        <f>IF(OR(W450="",X450=""),0,IFERROR(INDEX(#REF!,MATCH(W450,#REF!,0))*X450,0))</f>
        <v>0</v>
      </c>
      <c r="Z450" s="7"/>
      <c r="AA450" s="74"/>
      <c r="AB450" s="101">
        <f>IF(OR(Z450="",AA450=""),0,IFERROR(INDEX(#REF!,MATCH(Z450,#REF!,0))*AA450,0))</f>
        <v>0</v>
      </c>
      <c r="AC450" s="7"/>
      <c r="AD450" s="74"/>
      <c r="AE450" s="101">
        <f>IF(OR(AC450="",AD450=""),0,IFERROR(INDEX(#REF!,MATCH(AC450,#REF!,0))*AD450,0))</f>
        <v>0</v>
      </c>
      <c r="AF450" s="7"/>
      <c r="AG450" s="74"/>
      <c r="AH450" s="101">
        <f>IF(OR(AF450="",AG450=""),0,IFERROR(INDEX(#REF!,MATCH(AF450,#REF!,0))*AG450,0))</f>
        <v>0</v>
      </c>
      <c r="AI450" s="7"/>
      <c r="AJ450" s="74"/>
      <c r="AK450" s="101">
        <f>IF(OR(AI450="",AJ450=""),0,IFERROR(INDEX(#REF!,MATCH(AI450,#REF!,0))*AJ450,0))</f>
        <v>0</v>
      </c>
      <c r="AL450" s="101">
        <f t="shared" si="60"/>
        <v>0</v>
      </c>
      <c r="AM450" s="7"/>
      <c r="AN450" s="72"/>
      <c r="AO450" s="99">
        <f>IF(OR(AM450="",AN450=""),0,IFERROR(INDEX(#REF!,MATCH(AM450,#REF!,0))*AN450,0))</f>
        <v>0</v>
      </c>
      <c r="AP450" s="7"/>
      <c r="AQ450" s="74"/>
      <c r="AR450" s="99">
        <f>IF(OR(AP450="",AQ450=""),0,IFERROR(INDEX(#REF!,MATCH(AP450,#REF!,0))*AQ450,0))</f>
        <v>0</v>
      </c>
      <c r="AS450" s="7"/>
      <c r="AT450" s="74"/>
      <c r="AU450" s="99">
        <f>IF(OR(AS450="",AT450=""),0,IFERROR(INDEX(#REF!,MATCH(AS450,#REF!,0))*AT450,0))</f>
        <v>0</v>
      </c>
      <c r="AV450" s="7"/>
      <c r="AW450" s="74"/>
      <c r="AX450" s="99">
        <f>IF(OR(AV450="",AW450=""),0,IFERROR(INDEX(#REF!,MATCH(AV450,#REF!,0))*AW450,0))</f>
        <v>0</v>
      </c>
      <c r="AY450" s="7"/>
      <c r="AZ450" s="77"/>
      <c r="BA450" s="99">
        <f>IF(OR(AY450="",AZ450=""),0,IFERROR(INDEX(#REF!,MATCH(AY450,#REF!,0))*AZ450,0))</f>
        <v>0</v>
      </c>
      <c r="BB450" s="100">
        <f t="shared" si="61"/>
        <v>0</v>
      </c>
      <c r="BC450" s="110" t="str">
        <f t="shared" si="62"/>
        <v/>
      </c>
      <c r="BD450" s="62"/>
    </row>
    <row r="451" spans="1:56" ht="19.5" customHeight="1" x14ac:dyDescent="0.45">
      <c r="A451" s="104" t="str">
        <f t="shared" si="63"/>
        <v/>
      </c>
      <c r="B451" s="5"/>
      <c r="C451" s="109"/>
      <c r="D451" s="107"/>
      <c r="E451" s="6"/>
      <c r="F451" s="85"/>
      <c r="G451" s="85"/>
      <c r="H451" s="104" t="str">
        <f t="shared" si="55"/>
        <v/>
      </c>
      <c r="I451" s="103" t="str">
        <f>IFERROR(INDEX(#REF!,MATCH(E451,#REF!,0)),"")</f>
        <v/>
      </c>
      <c r="J451" s="6"/>
      <c r="K451" s="103" t="str">
        <f t="shared" si="56"/>
        <v/>
      </c>
      <c r="L451" s="8"/>
      <c r="M451" s="102" t="str">
        <f t="shared" si="57"/>
        <v/>
      </c>
      <c r="N451" s="9"/>
      <c r="O451" s="103" t="str">
        <f t="shared" si="58"/>
        <v/>
      </c>
      <c r="P451" s="6"/>
      <c r="Q451" s="7"/>
      <c r="R451" s="10"/>
      <c r="S451" s="29" t="str">
        <f t="shared" ca="1" si="59"/>
        <v/>
      </c>
      <c r="T451" s="7"/>
      <c r="U451" s="74"/>
      <c r="V451" s="101">
        <f>IF(OR(T451="",U451=""),0,IFERROR(INDEX(#REF!,MATCH(T451,#REF!,0))*U451,0))</f>
        <v>0</v>
      </c>
      <c r="W451" s="7"/>
      <c r="X451" s="74"/>
      <c r="Y451" s="101">
        <f>IF(OR(W451="",X451=""),0,IFERROR(INDEX(#REF!,MATCH(W451,#REF!,0))*X451,0))</f>
        <v>0</v>
      </c>
      <c r="Z451" s="7"/>
      <c r="AA451" s="74"/>
      <c r="AB451" s="101">
        <f>IF(OR(Z451="",AA451=""),0,IFERROR(INDEX(#REF!,MATCH(Z451,#REF!,0))*AA451,0))</f>
        <v>0</v>
      </c>
      <c r="AC451" s="7"/>
      <c r="AD451" s="74"/>
      <c r="AE451" s="101">
        <f>IF(OR(AC451="",AD451=""),0,IFERROR(INDEX(#REF!,MATCH(AC451,#REF!,0))*AD451,0))</f>
        <v>0</v>
      </c>
      <c r="AF451" s="7"/>
      <c r="AG451" s="74"/>
      <c r="AH451" s="101">
        <f>IF(OR(AF451="",AG451=""),0,IFERROR(INDEX(#REF!,MATCH(AF451,#REF!,0))*AG451,0))</f>
        <v>0</v>
      </c>
      <c r="AI451" s="7"/>
      <c r="AJ451" s="74"/>
      <c r="AK451" s="101">
        <f>IF(OR(AI451="",AJ451=""),0,IFERROR(INDEX(#REF!,MATCH(AI451,#REF!,0))*AJ451,0))</f>
        <v>0</v>
      </c>
      <c r="AL451" s="101">
        <f t="shared" si="60"/>
        <v>0</v>
      </c>
      <c r="AM451" s="7"/>
      <c r="AN451" s="72"/>
      <c r="AO451" s="99">
        <f>IF(OR(AM451="",AN451=""),0,IFERROR(INDEX(#REF!,MATCH(AM451,#REF!,0))*AN451,0))</f>
        <v>0</v>
      </c>
      <c r="AP451" s="7"/>
      <c r="AQ451" s="74"/>
      <c r="AR451" s="99">
        <f>IF(OR(AP451="",AQ451=""),0,IFERROR(INDEX(#REF!,MATCH(AP451,#REF!,0))*AQ451,0))</f>
        <v>0</v>
      </c>
      <c r="AS451" s="7"/>
      <c r="AT451" s="74"/>
      <c r="AU451" s="99">
        <f>IF(OR(AS451="",AT451=""),0,IFERROR(INDEX(#REF!,MATCH(AS451,#REF!,0))*AT451,0))</f>
        <v>0</v>
      </c>
      <c r="AV451" s="7"/>
      <c r="AW451" s="74"/>
      <c r="AX451" s="99">
        <f>IF(OR(AV451="",AW451=""),0,IFERROR(INDEX(#REF!,MATCH(AV451,#REF!,0))*AW451,0))</f>
        <v>0</v>
      </c>
      <c r="AY451" s="7"/>
      <c r="AZ451" s="77"/>
      <c r="BA451" s="99">
        <f>IF(OR(AY451="",AZ451=""),0,IFERROR(INDEX(#REF!,MATCH(AY451,#REF!,0))*AZ451,0))</f>
        <v>0</v>
      </c>
      <c r="BB451" s="100">
        <f t="shared" si="61"/>
        <v>0</v>
      </c>
      <c r="BC451" s="110" t="str">
        <f t="shared" si="62"/>
        <v/>
      </c>
      <c r="BD451" s="62"/>
    </row>
    <row r="452" spans="1:56" ht="19.5" customHeight="1" x14ac:dyDescent="0.45">
      <c r="A452" s="104" t="str">
        <f t="shared" si="63"/>
        <v/>
      </c>
      <c r="B452" s="5"/>
      <c r="C452" s="109"/>
      <c r="D452" s="107"/>
      <c r="E452" s="6"/>
      <c r="F452" s="85"/>
      <c r="G452" s="85"/>
      <c r="H452" s="104" t="str">
        <f t="shared" si="55"/>
        <v/>
      </c>
      <c r="I452" s="103" t="str">
        <f>IFERROR(INDEX(#REF!,MATCH(E452,#REF!,0)),"")</f>
        <v/>
      </c>
      <c r="J452" s="6"/>
      <c r="K452" s="103" t="str">
        <f t="shared" si="56"/>
        <v/>
      </c>
      <c r="L452" s="8"/>
      <c r="M452" s="102" t="str">
        <f t="shared" si="57"/>
        <v/>
      </c>
      <c r="N452" s="9"/>
      <c r="O452" s="103" t="str">
        <f t="shared" si="58"/>
        <v/>
      </c>
      <c r="P452" s="6"/>
      <c r="Q452" s="7"/>
      <c r="R452" s="10"/>
      <c r="S452" s="29" t="str">
        <f t="shared" ca="1" si="59"/>
        <v/>
      </c>
      <c r="T452" s="7"/>
      <c r="U452" s="74"/>
      <c r="V452" s="101">
        <f>IF(OR(T452="",U452=""),0,IFERROR(INDEX(#REF!,MATCH(T452,#REF!,0))*U452,0))</f>
        <v>0</v>
      </c>
      <c r="W452" s="7"/>
      <c r="X452" s="74"/>
      <c r="Y452" s="101">
        <f>IF(OR(W452="",X452=""),0,IFERROR(INDEX(#REF!,MATCH(W452,#REF!,0))*X452,0))</f>
        <v>0</v>
      </c>
      <c r="Z452" s="7"/>
      <c r="AA452" s="74"/>
      <c r="AB452" s="101">
        <f>IF(OR(Z452="",AA452=""),0,IFERROR(INDEX(#REF!,MATCH(Z452,#REF!,0))*AA452,0))</f>
        <v>0</v>
      </c>
      <c r="AC452" s="7"/>
      <c r="AD452" s="74"/>
      <c r="AE452" s="101">
        <f>IF(OR(AC452="",AD452=""),0,IFERROR(INDEX(#REF!,MATCH(AC452,#REF!,0))*AD452,0))</f>
        <v>0</v>
      </c>
      <c r="AF452" s="7"/>
      <c r="AG452" s="74"/>
      <c r="AH452" s="101">
        <f>IF(OR(AF452="",AG452=""),0,IFERROR(INDEX(#REF!,MATCH(AF452,#REF!,0))*AG452,0))</f>
        <v>0</v>
      </c>
      <c r="AI452" s="7"/>
      <c r="AJ452" s="74"/>
      <c r="AK452" s="101">
        <f>IF(OR(AI452="",AJ452=""),0,IFERROR(INDEX(#REF!,MATCH(AI452,#REF!,0))*AJ452,0))</f>
        <v>0</v>
      </c>
      <c r="AL452" s="101">
        <f t="shared" si="60"/>
        <v>0</v>
      </c>
      <c r="AM452" s="7"/>
      <c r="AN452" s="72"/>
      <c r="AO452" s="99">
        <f>IF(OR(AM452="",AN452=""),0,IFERROR(INDEX(#REF!,MATCH(AM452,#REF!,0))*AN452,0))</f>
        <v>0</v>
      </c>
      <c r="AP452" s="7"/>
      <c r="AQ452" s="74"/>
      <c r="AR452" s="99">
        <f>IF(OR(AP452="",AQ452=""),0,IFERROR(INDEX(#REF!,MATCH(AP452,#REF!,0))*AQ452,0))</f>
        <v>0</v>
      </c>
      <c r="AS452" s="7"/>
      <c r="AT452" s="74"/>
      <c r="AU452" s="99">
        <f>IF(OR(AS452="",AT452=""),0,IFERROR(INDEX(#REF!,MATCH(AS452,#REF!,0))*AT452,0))</f>
        <v>0</v>
      </c>
      <c r="AV452" s="7"/>
      <c r="AW452" s="74"/>
      <c r="AX452" s="99">
        <f>IF(OR(AV452="",AW452=""),0,IFERROR(INDEX(#REF!,MATCH(AV452,#REF!,0))*AW452,0))</f>
        <v>0</v>
      </c>
      <c r="AY452" s="7"/>
      <c r="AZ452" s="77"/>
      <c r="BA452" s="99">
        <f>IF(OR(AY452="",AZ452=""),0,IFERROR(INDEX(#REF!,MATCH(AY452,#REF!,0))*AZ452,0))</f>
        <v>0</v>
      </c>
      <c r="BB452" s="100">
        <f t="shared" si="61"/>
        <v>0</v>
      </c>
      <c r="BC452" s="110" t="str">
        <f t="shared" si="62"/>
        <v/>
      </c>
      <c r="BD452" s="62"/>
    </row>
    <row r="453" spans="1:56" ht="19.5" customHeight="1" x14ac:dyDescent="0.45">
      <c r="A453" s="104" t="str">
        <f t="shared" si="63"/>
        <v/>
      </c>
      <c r="B453" s="5"/>
      <c r="C453" s="109"/>
      <c r="D453" s="107"/>
      <c r="E453" s="6"/>
      <c r="F453" s="85"/>
      <c r="G453" s="85"/>
      <c r="H453" s="104" t="str">
        <f t="shared" ref="H453:H500" si="64">IF(AND(F453&lt;&gt;"",G453&lt;&gt;""),G453-F453,"")</f>
        <v/>
      </c>
      <c r="I453" s="103" t="str">
        <f>IFERROR(INDEX(#REF!,MATCH(E453,#REF!,0)),"")</f>
        <v/>
      </c>
      <c r="J453" s="6"/>
      <c r="K453" s="103" t="str">
        <f t="shared" ref="K453:K500" si="65">IF(AND(ISNUMBER(H453),ISNUMBER(I453)),H453*I453,"")</f>
        <v/>
      </c>
      <c r="L453" s="8"/>
      <c r="M453" s="102" t="str">
        <f t="shared" ref="M453:M500" si="66">IF(ISNUMBER(K453),K453*(1-L453),"")</f>
        <v/>
      </c>
      <c r="N453" s="9"/>
      <c r="O453" s="103" t="str">
        <f t="shared" ref="O453:O500" si="67">IF(ISNUMBER(M453),M453-N453,"")</f>
        <v/>
      </c>
      <c r="P453" s="6"/>
      <c r="Q453" s="7"/>
      <c r="R453" s="10"/>
      <c r="S453" s="29" t="str">
        <f t="shared" ca="1" si="59"/>
        <v/>
      </c>
      <c r="T453" s="7"/>
      <c r="U453" s="74"/>
      <c r="V453" s="101">
        <f>IF(OR(T453="",U453=""),0,IFERROR(INDEX(#REF!,MATCH(T453,#REF!,0))*U453,0))</f>
        <v>0</v>
      </c>
      <c r="W453" s="7"/>
      <c r="X453" s="74"/>
      <c r="Y453" s="101">
        <f>IF(OR(W453="",X453=""),0,IFERROR(INDEX(#REF!,MATCH(W453,#REF!,0))*X453,0))</f>
        <v>0</v>
      </c>
      <c r="Z453" s="7"/>
      <c r="AA453" s="74"/>
      <c r="AB453" s="101">
        <f>IF(OR(Z453="",AA453=""),0,IFERROR(INDEX(#REF!,MATCH(Z453,#REF!,0))*AA453,0))</f>
        <v>0</v>
      </c>
      <c r="AC453" s="7"/>
      <c r="AD453" s="74"/>
      <c r="AE453" s="101">
        <f>IF(OR(AC453="",AD453=""),0,IFERROR(INDEX(#REF!,MATCH(AC453,#REF!,0))*AD453,0))</f>
        <v>0</v>
      </c>
      <c r="AF453" s="7"/>
      <c r="AG453" s="74"/>
      <c r="AH453" s="101">
        <f>IF(OR(AF453="",AG453=""),0,IFERROR(INDEX(#REF!,MATCH(AF453,#REF!,0))*AG453,0))</f>
        <v>0</v>
      </c>
      <c r="AI453" s="7"/>
      <c r="AJ453" s="74"/>
      <c r="AK453" s="101">
        <f>IF(OR(AI453="",AJ453=""),0,IFERROR(INDEX(#REF!,MATCH(AI453,#REF!,0))*AJ453,0))</f>
        <v>0</v>
      </c>
      <c r="AL453" s="101">
        <f t="shared" si="60"/>
        <v>0</v>
      </c>
      <c r="AM453" s="7"/>
      <c r="AN453" s="72"/>
      <c r="AO453" s="99">
        <f>IF(OR(AM453="",AN453=""),0,IFERROR(INDEX(#REF!,MATCH(AM453,#REF!,0))*AN453,0))</f>
        <v>0</v>
      </c>
      <c r="AP453" s="7"/>
      <c r="AQ453" s="74"/>
      <c r="AR453" s="99">
        <f>IF(OR(AP453="",AQ453=""),0,IFERROR(INDEX(#REF!,MATCH(AP453,#REF!,0))*AQ453,0))</f>
        <v>0</v>
      </c>
      <c r="AS453" s="7"/>
      <c r="AT453" s="74"/>
      <c r="AU453" s="99">
        <f>IF(OR(AS453="",AT453=""),0,IFERROR(INDEX(#REF!,MATCH(AS453,#REF!,0))*AT453,0))</f>
        <v>0</v>
      </c>
      <c r="AV453" s="7"/>
      <c r="AW453" s="74"/>
      <c r="AX453" s="99">
        <f>IF(OR(AV453="",AW453=""),0,IFERROR(INDEX(#REF!,MATCH(AV453,#REF!,0))*AW453,0))</f>
        <v>0</v>
      </c>
      <c r="AY453" s="7"/>
      <c r="AZ453" s="77"/>
      <c r="BA453" s="99">
        <f>IF(OR(AY453="",AZ453=""),0,IFERROR(INDEX(#REF!,MATCH(AY453,#REF!,0))*AZ453,0))</f>
        <v>0</v>
      </c>
      <c r="BB453" s="100">
        <f t="shared" si="61"/>
        <v>0</v>
      </c>
      <c r="BC453" s="110" t="str">
        <f t="shared" si="62"/>
        <v/>
      </c>
      <c r="BD453" s="62"/>
    </row>
    <row r="454" spans="1:56" ht="19.5" customHeight="1" x14ac:dyDescent="0.45">
      <c r="A454" s="104" t="str">
        <f t="shared" si="63"/>
        <v/>
      </c>
      <c r="B454" s="5"/>
      <c r="C454" s="109"/>
      <c r="D454" s="107"/>
      <c r="E454" s="6"/>
      <c r="F454" s="85"/>
      <c r="G454" s="85"/>
      <c r="H454" s="104" t="str">
        <f t="shared" si="64"/>
        <v/>
      </c>
      <c r="I454" s="103" t="str">
        <f>IFERROR(INDEX(#REF!,MATCH(E454,#REF!,0)),"")</f>
        <v/>
      </c>
      <c r="J454" s="6"/>
      <c r="K454" s="103" t="str">
        <f t="shared" si="65"/>
        <v/>
      </c>
      <c r="L454" s="8"/>
      <c r="M454" s="102" t="str">
        <f t="shared" si="66"/>
        <v/>
      </c>
      <c r="N454" s="9"/>
      <c r="O454" s="103" t="str">
        <f t="shared" si="67"/>
        <v/>
      </c>
      <c r="P454" s="6"/>
      <c r="Q454" s="7"/>
      <c r="R454" s="10"/>
      <c r="S454" s="29" t="str">
        <f t="shared" ref="S454:S500" ca="1" si="68">IF(AND(B454&lt;&gt;"",F454&lt;&gt;"",F454&gt;=TODAY(),F454&lt;=TODAY()+180,P454&lt;&gt;"Cancelled"),F454+ROW()/100000,"")</f>
        <v/>
      </c>
      <c r="T454" s="7"/>
      <c r="U454" s="74"/>
      <c r="V454" s="101">
        <f>IF(OR(T454="",U454=""),0,IFERROR(INDEX(#REF!,MATCH(T454,#REF!,0))*U454,0))</f>
        <v>0</v>
      </c>
      <c r="W454" s="7"/>
      <c r="X454" s="74"/>
      <c r="Y454" s="101">
        <f>IF(OR(W454="",X454=""),0,IFERROR(INDEX(#REF!,MATCH(W454,#REF!,0))*X454,0))</f>
        <v>0</v>
      </c>
      <c r="Z454" s="7"/>
      <c r="AA454" s="74"/>
      <c r="AB454" s="101">
        <f>IF(OR(Z454="",AA454=""),0,IFERROR(INDEX(#REF!,MATCH(Z454,#REF!,0))*AA454,0))</f>
        <v>0</v>
      </c>
      <c r="AC454" s="7"/>
      <c r="AD454" s="74"/>
      <c r="AE454" s="101">
        <f>IF(OR(AC454="",AD454=""),0,IFERROR(INDEX(#REF!,MATCH(AC454,#REF!,0))*AD454,0))</f>
        <v>0</v>
      </c>
      <c r="AF454" s="7"/>
      <c r="AG454" s="74"/>
      <c r="AH454" s="101">
        <f>IF(OR(AF454="",AG454=""),0,IFERROR(INDEX(#REF!,MATCH(AF454,#REF!,0))*AG454,0))</f>
        <v>0</v>
      </c>
      <c r="AI454" s="7"/>
      <c r="AJ454" s="74"/>
      <c r="AK454" s="101">
        <f>IF(OR(AI454="",AJ454=""),0,IFERROR(INDEX(#REF!,MATCH(AI454,#REF!,0))*AJ454,0))</f>
        <v>0</v>
      </c>
      <c r="AL454" s="101">
        <f t="shared" ref="AL454:AL500" si="69">SUM(V454+Y454+AB454+AE454+AH454+AK454)</f>
        <v>0</v>
      </c>
      <c r="AM454" s="7"/>
      <c r="AN454" s="72"/>
      <c r="AO454" s="99">
        <f>IF(OR(AM454="",AN454=""),0,IFERROR(INDEX(#REF!,MATCH(AM454,#REF!,0))*AN454,0))</f>
        <v>0</v>
      </c>
      <c r="AP454" s="7"/>
      <c r="AQ454" s="74"/>
      <c r="AR454" s="99">
        <f>IF(OR(AP454="",AQ454=""),0,IFERROR(INDEX(#REF!,MATCH(AP454,#REF!,0))*AQ454,0))</f>
        <v>0</v>
      </c>
      <c r="AS454" s="7"/>
      <c r="AT454" s="74"/>
      <c r="AU454" s="99">
        <f>IF(OR(AS454="",AT454=""),0,IFERROR(INDEX(#REF!,MATCH(AS454,#REF!,0))*AT454,0))</f>
        <v>0</v>
      </c>
      <c r="AV454" s="7"/>
      <c r="AW454" s="74"/>
      <c r="AX454" s="99">
        <f>IF(OR(AV454="",AW454=""),0,IFERROR(INDEX(#REF!,MATCH(AV454,#REF!,0))*AW454,0))</f>
        <v>0</v>
      </c>
      <c r="AY454" s="7"/>
      <c r="AZ454" s="77"/>
      <c r="BA454" s="99">
        <f>IF(OR(AY454="",AZ454=""),0,IFERROR(INDEX(#REF!,MATCH(AY454,#REF!,0))*AZ454,0))</f>
        <v>0</v>
      </c>
      <c r="BB454" s="100">
        <f t="shared" ref="BB454:BB500" si="70">SUM(AO454+AR454+AU454+AX454+BA454)</f>
        <v>0</v>
      </c>
      <c r="BC454" s="110" t="str">
        <f t="shared" ref="BC454:BC500" si="71">IF(ISNUMBER(M454),M454+AL454+BB454,"")</f>
        <v/>
      </c>
      <c r="BD454" s="62"/>
    </row>
    <row r="455" spans="1:56" ht="19.5" customHeight="1" x14ac:dyDescent="0.45">
      <c r="A455" s="104" t="str">
        <f t="shared" si="63"/>
        <v/>
      </c>
      <c r="B455" s="5"/>
      <c r="C455" s="109"/>
      <c r="D455" s="107"/>
      <c r="E455" s="6"/>
      <c r="F455" s="85"/>
      <c r="G455" s="85"/>
      <c r="H455" s="104" t="str">
        <f t="shared" si="64"/>
        <v/>
      </c>
      <c r="I455" s="103" t="str">
        <f>IFERROR(INDEX(#REF!,MATCH(E455,#REF!,0)),"")</f>
        <v/>
      </c>
      <c r="J455" s="6"/>
      <c r="K455" s="103" t="str">
        <f t="shared" si="65"/>
        <v/>
      </c>
      <c r="L455" s="8"/>
      <c r="M455" s="102" t="str">
        <f t="shared" si="66"/>
        <v/>
      </c>
      <c r="N455" s="9"/>
      <c r="O455" s="103" t="str">
        <f t="shared" si="67"/>
        <v/>
      </c>
      <c r="P455" s="6"/>
      <c r="Q455" s="7"/>
      <c r="R455" s="10"/>
      <c r="S455" s="29" t="str">
        <f t="shared" ca="1" si="68"/>
        <v/>
      </c>
      <c r="T455" s="7"/>
      <c r="U455" s="74"/>
      <c r="V455" s="101">
        <f>IF(OR(T455="",U455=""),0,IFERROR(INDEX(#REF!,MATCH(T455,#REF!,0))*U455,0))</f>
        <v>0</v>
      </c>
      <c r="W455" s="7"/>
      <c r="X455" s="74"/>
      <c r="Y455" s="101">
        <f>IF(OR(W455="",X455=""),0,IFERROR(INDEX(#REF!,MATCH(W455,#REF!,0))*X455,0))</f>
        <v>0</v>
      </c>
      <c r="Z455" s="7"/>
      <c r="AA455" s="74"/>
      <c r="AB455" s="101">
        <f>IF(OR(Z455="",AA455=""),0,IFERROR(INDEX(#REF!,MATCH(Z455,#REF!,0))*AA455,0))</f>
        <v>0</v>
      </c>
      <c r="AC455" s="7"/>
      <c r="AD455" s="74"/>
      <c r="AE455" s="101">
        <f>IF(OR(AC455="",AD455=""),0,IFERROR(INDEX(#REF!,MATCH(AC455,#REF!,0))*AD455,0))</f>
        <v>0</v>
      </c>
      <c r="AF455" s="7"/>
      <c r="AG455" s="74"/>
      <c r="AH455" s="101">
        <f>IF(OR(AF455="",AG455=""),0,IFERROR(INDEX(#REF!,MATCH(AF455,#REF!,0))*AG455,0))</f>
        <v>0</v>
      </c>
      <c r="AI455" s="7"/>
      <c r="AJ455" s="74"/>
      <c r="AK455" s="101">
        <f>IF(OR(AI455="",AJ455=""),0,IFERROR(INDEX(#REF!,MATCH(AI455,#REF!,0))*AJ455,0))</f>
        <v>0</v>
      </c>
      <c r="AL455" s="101">
        <f t="shared" si="69"/>
        <v>0</v>
      </c>
      <c r="AM455" s="7"/>
      <c r="AN455" s="72"/>
      <c r="AO455" s="99">
        <f>IF(OR(AM455="",AN455=""),0,IFERROR(INDEX(#REF!,MATCH(AM455,#REF!,0))*AN455,0))</f>
        <v>0</v>
      </c>
      <c r="AP455" s="7"/>
      <c r="AQ455" s="74"/>
      <c r="AR455" s="99">
        <f>IF(OR(AP455="",AQ455=""),0,IFERROR(INDEX(#REF!,MATCH(AP455,#REF!,0))*AQ455,0))</f>
        <v>0</v>
      </c>
      <c r="AS455" s="7"/>
      <c r="AT455" s="74"/>
      <c r="AU455" s="99">
        <f>IF(OR(AS455="",AT455=""),0,IFERROR(INDEX(#REF!,MATCH(AS455,#REF!,0))*AT455,0))</f>
        <v>0</v>
      </c>
      <c r="AV455" s="7"/>
      <c r="AW455" s="74"/>
      <c r="AX455" s="99">
        <f>IF(OR(AV455="",AW455=""),0,IFERROR(INDEX(#REF!,MATCH(AV455,#REF!,0))*AW455,0))</f>
        <v>0</v>
      </c>
      <c r="AY455" s="7"/>
      <c r="AZ455" s="77"/>
      <c r="BA455" s="99">
        <f>IF(OR(AY455="",AZ455=""),0,IFERROR(INDEX(#REF!,MATCH(AY455,#REF!,0))*AZ455,0))</f>
        <v>0</v>
      </c>
      <c r="BB455" s="100">
        <f t="shared" si="70"/>
        <v>0</v>
      </c>
      <c r="BC455" s="110" t="str">
        <f t="shared" si="71"/>
        <v/>
      </c>
      <c r="BD455" s="62"/>
    </row>
    <row r="456" spans="1:56" ht="19.5" customHeight="1" x14ac:dyDescent="0.45">
      <c r="A456" s="104" t="str">
        <f t="shared" si="63"/>
        <v/>
      </c>
      <c r="B456" s="5"/>
      <c r="C456" s="109"/>
      <c r="D456" s="107"/>
      <c r="E456" s="6"/>
      <c r="F456" s="85"/>
      <c r="G456" s="85"/>
      <c r="H456" s="104" t="str">
        <f t="shared" si="64"/>
        <v/>
      </c>
      <c r="I456" s="103" t="str">
        <f>IFERROR(INDEX(#REF!,MATCH(E456,#REF!,0)),"")</f>
        <v/>
      </c>
      <c r="J456" s="6"/>
      <c r="K456" s="103" t="str">
        <f t="shared" si="65"/>
        <v/>
      </c>
      <c r="L456" s="8"/>
      <c r="M456" s="102" t="str">
        <f t="shared" si="66"/>
        <v/>
      </c>
      <c r="N456" s="9"/>
      <c r="O456" s="103" t="str">
        <f t="shared" si="67"/>
        <v/>
      </c>
      <c r="P456" s="6"/>
      <c r="Q456" s="7"/>
      <c r="R456" s="10"/>
      <c r="S456" s="29" t="str">
        <f t="shared" ca="1" si="68"/>
        <v/>
      </c>
      <c r="T456" s="7"/>
      <c r="U456" s="74"/>
      <c r="V456" s="101">
        <f>IF(OR(T456="",U456=""),0,IFERROR(INDEX(#REF!,MATCH(T456,#REF!,0))*U456,0))</f>
        <v>0</v>
      </c>
      <c r="W456" s="7"/>
      <c r="X456" s="74"/>
      <c r="Y456" s="101">
        <f>IF(OR(W456="",X456=""),0,IFERROR(INDEX(#REF!,MATCH(W456,#REF!,0))*X456,0))</f>
        <v>0</v>
      </c>
      <c r="Z456" s="7"/>
      <c r="AA456" s="74"/>
      <c r="AB456" s="101">
        <f>IF(OR(Z456="",AA456=""),0,IFERROR(INDEX(#REF!,MATCH(Z456,#REF!,0))*AA456,0))</f>
        <v>0</v>
      </c>
      <c r="AC456" s="7"/>
      <c r="AD456" s="74"/>
      <c r="AE456" s="101">
        <f>IF(OR(AC456="",AD456=""),0,IFERROR(INDEX(#REF!,MATCH(AC456,#REF!,0))*AD456,0))</f>
        <v>0</v>
      </c>
      <c r="AF456" s="7"/>
      <c r="AG456" s="74"/>
      <c r="AH456" s="101">
        <f>IF(OR(AF456="",AG456=""),0,IFERROR(INDEX(#REF!,MATCH(AF456,#REF!,0))*AG456,0))</f>
        <v>0</v>
      </c>
      <c r="AI456" s="7"/>
      <c r="AJ456" s="74"/>
      <c r="AK456" s="101">
        <f>IF(OR(AI456="",AJ456=""),0,IFERROR(INDEX(#REF!,MATCH(AI456,#REF!,0))*AJ456,0))</f>
        <v>0</v>
      </c>
      <c r="AL456" s="101">
        <f t="shared" si="69"/>
        <v>0</v>
      </c>
      <c r="AM456" s="7"/>
      <c r="AN456" s="72"/>
      <c r="AO456" s="99">
        <f>IF(OR(AM456="",AN456=""),0,IFERROR(INDEX(#REF!,MATCH(AM456,#REF!,0))*AN456,0))</f>
        <v>0</v>
      </c>
      <c r="AP456" s="7"/>
      <c r="AQ456" s="74"/>
      <c r="AR456" s="99">
        <f>IF(OR(AP456="",AQ456=""),0,IFERROR(INDEX(#REF!,MATCH(AP456,#REF!,0))*AQ456,0))</f>
        <v>0</v>
      </c>
      <c r="AS456" s="7"/>
      <c r="AT456" s="74"/>
      <c r="AU456" s="99">
        <f>IF(OR(AS456="",AT456=""),0,IFERROR(INDEX(#REF!,MATCH(AS456,#REF!,0))*AT456,0))</f>
        <v>0</v>
      </c>
      <c r="AV456" s="7"/>
      <c r="AW456" s="74"/>
      <c r="AX456" s="99">
        <f>IF(OR(AV456="",AW456=""),0,IFERROR(INDEX(#REF!,MATCH(AV456,#REF!,0))*AW456,0))</f>
        <v>0</v>
      </c>
      <c r="AY456" s="7"/>
      <c r="AZ456" s="77"/>
      <c r="BA456" s="99">
        <f>IF(OR(AY456="",AZ456=""),0,IFERROR(INDEX(#REF!,MATCH(AY456,#REF!,0))*AZ456,0))</f>
        <v>0</v>
      </c>
      <c r="BB456" s="100">
        <f t="shared" si="70"/>
        <v>0</v>
      </c>
      <c r="BC456" s="110" t="str">
        <f t="shared" si="71"/>
        <v/>
      </c>
      <c r="BD456" s="62"/>
    </row>
    <row r="457" spans="1:56" ht="19.5" customHeight="1" x14ac:dyDescent="0.45">
      <c r="A457" s="104" t="str">
        <f t="shared" si="63"/>
        <v/>
      </c>
      <c r="B457" s="5"/>
      <c r="C457" s="109"/>
      <c r="D457" s="107"/>
      <c r="E457" s="6"/>
      <c r="F457" s="85"/>
      <c r="G457" s="85"/>
      <c r="H457" s="104" t="str">
        <f t="shared" si="64"/>
        <v/>
      </c>
      <c r="I457" s="103" t="str">
        <f>IFERROR(INDEX(#REF!,MATCH(E457,#REF!,0)),"")</f>
        <v/>
      </c>
      <c r="J457" s="6"/>
      <c r="K457" s="103" t="str">
        <f t="shared" si="65"/>
        <v/>
      </c>
      <c r="L457" s="8"/>
      <c r="M457" s="102" t="str">
        <f t="shared" si="66"/>
        <v/>
      </c>
      <c r="N457" s="9"/>
      <c r="O457" s="103" t="str">
        <f t="shared" si="67"/>
        <v/>
      </c>
      <c r="P457" s="6"/>
      <c r="Q457" s="7"/>
      <c r="R457" s="10"/>
      <c r="S457" s="29" t="str">
        <f t="shared" ca="1" si="68"/>
        <v/>
      </c>
      <c r="T457" s="7"/>
      <c r="U457" s="74"/>
      <c r="V457" s="101">
        <f>IF(OR(T457="",U457=""),0,IFERROR(INDEX(#REF!,MATCH(T457,#REF!,0))*U457,0))</f>
        <v>0</v>
      </c>
      <c r="W457" s="7"/>
      <c r="X457" s="74"/>
      <c r="Y457" s="101">
        <f>IF(OR(W457="",X457=""),0,IFERROR(INDEX(#REF!,MATCH(W457,#REF!,0))*X457,0))</f>
        <v>0</v>
      </c>
      <c r="Z457" s="7"/>
      <c r="AA457" s="74"/>
      <c r="AB457" s="101">
        <f>IF(OR(Z457="",AA457=""),0,IFERROR(INDEX(#REF!,MATCH(Z457,#REF!,0))*AA457,0))</f>
        <v>0</v>
      </c>
      <c r="AC457" s="7"/>
      <c r="AD457" s="74"/>
      <c r="AE457" s="101">
        <f>IF(OR(AC457="",AD457=""),0,IFERROR(INDEX(#REF!,MATCH(AC457,#REF!,0))*AD457,0))</f>
        <v>0</v>
      </c>
      <c r="AF457" s="7"/>
      <c r="AG457" s="74"/>
      <c r="AH457" s="101">
        <f>IF(OR(AF457="",AG457=""),0,IFERROR(INDEX(#REF!,MATCH(AF457,#REF!,0))*AG457,0))</f>
        <v>0</v>
      </c>
      <c r="AI457" s="7"/>
      <c r="AJ457" s="74"/>
      <c r="AK457" s="101">
        <f>IF(OR(AI457="",AJ457=""),0,IFERROR(INDEX(#REF!,MATCH(AI457,#REF!,0))*AJ457,0))</f>
        <v>0</v>
      </c>
      <c r="AL457" s="101">
        <f t="shared" si="69"/>
        <v>0</v>
      </c>
      <c r="AM457" s="7"/>
      <c r="AN457" s="72"/>
      <c r="AO457" s="99">
        <f>IF(OR(AM457="",AN457=""),0,IFERROR(INDEX(#REF!,MATCH(AM457,#REF!,0))*AN457,0))</f>
        <v>0</v>
      </c>
      <c r="AP457" s="7"/>
      <c r="AQ457" s="74"/>
      <c r="AR457" s="99">
        <f>IF(OR(AP457="",AQ457=""),0,IFERROR(INDEX(#REF!,MATCH(AP457,#REF!,0))*AQ457,0))</f>
        <v>0</v>
      </c>
      <c r="AS457" s="7"/>
      <c r="AT457" s="74"/>
      <c r="AU457" s="99">
        <f>IF(OR(AS457="",AT457=""),0,IFERROR(INDEX(#REF!,MATCH(AS457,#REF!,0))*AT457,0))</f>
        <v>0</v>
      </c>
      <c r="AV457" s="7"/>
      <c r="AW457" s="74"/>
      <c r="AX457" s="99">
        <f>IF(OR(AV457="",AW457=""),0,IFERROR(INDEX(#REF!,MATCH(AV457,#REF!,0))*AW457,0))</f>
        <v>0</v>
      </c>
      <c r="AY457" s="7"/>
      <c r="AZ457" s="77"/>
      <c r="BA457" s="99">
        <f>IF(OR(AY457="",AZ457=""),0,IFERROR(INDEX(#REF!,MATCH(AY457,#REF!,0))*AZ457,0))</f>
        <v>0</v>
      </c>
      <c r="BB457" s="100">
        <f t="shared" si="70"/>
        <v>0</v>
      </c>
      <c r="BC457" s="110" t="str">
        <f t="shared" si="71"/>
        <v/>
      </c>
      <c r="BD457" s="62"/>
    </row>
    <row r="458" spans="1:56" ht="19.5" customHeight="1" x14ac:dyDescent="0.45">
      <c r="A458" s="104" t="str">
        <f t="shared" si="63"/>
        <v/>
      </c>
      <c r="B458" s="5"/>
      <c r="C458" s="109"/>
      <c r="D458" s="107"/>
      <c r="E458" s="6"/>
      <c r="F458" s="85"/>
      <c r="G458" s="85"/>
      <c r="H458" s="104" t="str">
        <f t="shared" si="64"/>
        <v/>
      </c>
      <c r="I458" s="103" t="str">
        <f>IFERROR(INDEX(#REF!,MATCH(E458,#REF!,0)),"")</f>
        <v/>
      </c>
      <c r="J458" s="6"/>
      <c r="K458" s="103" t="str">
        <f t="shared" si="65"/>
        <v/>
      </c>
      <c r="L458" s="8"/>
      <c r="M458" s="102" t="str">
        <f t="shared" si="66"/>
        <v/>
      </c>
      <c r="N458" s="9"/>
      <c r="O458" s="103" t="str">
        <f t="shared" si="67"/>
        <v/>
      </c>
      <c r="P458" s="6"/>
      <c r="Q458" s="7"/>
      <c r="R458" s="10"/>
      <c r="S458" s="29" t="str">
        <f t="shared" ca="1" si="68"/>
        <v/>
      </c>
      <c r="T458" s="7"/>
      <c r="U458" s="74"/>
      <c r="V458" s="101">
        <f>IF(OR(T458="",U458=""),0,IFERROR(INDEX(#REF!,MATCH(T458,#REF!,0))*U458,0))</f>
        <v>0</v>
      </c>
      <c r="W458" s="7"/>
      <c r="X458" s="74"/>
      <c r="Y458" s="101">
        <f>IF(OR(W458="",X458=""),0,IFERROR(INDEX(#REF!,MATCH(W458,#REF!,0))*X458,0))</f>
        <v>0</v>
      </c>
      <c r="Z458" s="7"/>
      <c r="AA458" s="74"/>
      <c r="AB458" s="101">
        <f>IF(OR(Z458="",AA458=""),0,IFERROR(INDEX(#REF!,MATCH(Z458,#REF!,0))*AA458,0))</f>
        <v>0</v>
      </c>
      <c r="AC458" s="7"/>
      <c r="AD458" s="74"/>
      <c r="AE458" s="101">
        <f>IF(OR(AC458="",AD458=""),0,IFERROR(INDEX(#REF!,MATCH(AC458,#REF!,0))*AD458,0))</f>
        <v>0</v>
      </c>
      <c r="AF458" s="7"/>
      <c r="AG458" s="74"/>
      <c r="AH458" s="101">
        <f>IF(OR(AF458="",AG458=""),0,IFERROR(INDEX(#REF!,MATCH(AF458,#REF!,0))*AG458,0))</f>
        <v>0</v>
      </c>
      <c r="AI458" s="7"/>
      <c r="AJ458" s="74"/>
      <c r="AK458" s="101">
        <f>IF(OR(AI458="",AJ458=""),0,IFERROR(INDEX(#REF!,MATCH(AI458,#REF!,0))*AJ458,0))</f>
        <v>0</v>
      </c>
      <c r="AL458" s="101">
        <f t="shared" si="69"/>
        <v>0</v>
      </c>
      <c r="AM458" s="7"/>
      <c r="AN458" s="72"/>
      <c r="AO458" s="99">
        <f>IF(OR(AM458="",AN458=""),0,IFERROR(INDEX(#REF!,MATCH(AM458,#REF!,0))*AN458,0))</f>
        <v>0</v>
      </c>
      <c r="AP458" s="7"/>
      <c r="AQ458" s="74"/>
      <c r="AR458" s="99">
        <f>IF(OR(AP458="",AQ458=""),0,IFERROR(INDEX(#REF!,MATCH(AP458,#REF!,0))*AQ458,0))</f>
        <v>0</v>
      </c>
      <c r="AS458" s="7"/>
      <c r="AT458" s="74"/>
      <c r="AU458" s="99">
        <f>IF(OR(AS458="",AT458=""),0,IFERROR(INDEX(#REF!,MATCH(AS458,#REF!,0))*AT458,0))</f>
        <v>0</v>
      </c>
      <c r="AV458" s="7"/>
      <c r="AW458" s="74"/>
      <c r="AX458" s="99">
        <f>IF(OR(AV458="",AW458=""),0,IFERROR(INDEX(#REF!,MATCH(AV458,#REF!,0))*AW458,0))</f>
        <v>0</v>
      </c>
      <c r="AY458" s="7"/>
      <c r="AZ458" s="77"/>
      <c r="BA458" s="99">
        <f>IF(OR(AY458="",AZ458=""),0,IFERROR(INDEX(#REF!,MATCH(AY458,#REF!,0))*AZ458,0))</f>
        <v>0</v>
      </c>
      <c r="BB458" s="100">
        <f t="shared" si="70"/>
        <v>0</v>
      </c>
      <c r="BC458" s="110" t="str">
        <f t="shared" si="71"/>
        <v/>
      </c>
      <c r="BD458" s="62"/>
    </row>
    <row r="459" spans="1:56" ht="19.5" customHeight="1" x14ac:dyDescent="0.45">
      <c r="A459" s="104" t="str">
        <f t="shared" si="63"/>
        <v/>
      </c>
      <c r="B459" s="5"/>
      <c r="C459" s="109"/>
      <c r="D459" s="107"/>
      <c r="E459" s="6"/>
      <c r="F459" s="85"/>
      <c r="G459" s="85"/>
      <c r="H459" s="104" t="str">
        <f t="shared" si="64"/>
        <v/>
      </c>
      <c r="I459" s="103" t="str">
        <f>IFERROR(INDEX(#REF!,MATCH(E459,#REF!,0)),"")</f>
        <v/>
      </c>
      <c r="J459" s="6"/>
      <c r="K459" s="103" t="str">
        <f t="shared" si="65"/>
        <v/>
      </c>
      <c r="L459" s="8"/>
      <c r="M459" s="102" t="str">
        <f t="shared" si="66"/>
        <v/>
      </c>
      <c r="N459" s="9"/>
      <c r="O459" s="103" t="str">
        <f t="shared" si="67"/>
        <v/>
      </c>
      <c r="P459" s="6"/>
      <c r="Q459" s="7"/>
      <c r="R459" s="10"/>
      <c r="S459" s="29" t="str">
        <f t="shared" ca="1" si="68"/>
        <v/>
      </c>
      <c r="T459" s="7"/>
      <c r="U459" s="74"/>
      <c r="V459" s="101">
        <f>IF(OR(T459="",U459=""),0,IFERROR(INDEX(#REF!,MATCH(T459,#REF!,0))*U459,0))</f>
        <v>0</v>
      </c>
      <c r="W459" s="7"/>
      <c r="X459" s="74"/>
      <c r="Y459" s="101">
        <f>IF(OR(W459="",X459=""),0,IFERROR(INDEX(#REF!,MATCH(W459,#REF!,0))*X459,0))</f>
        <v>0</v>
      </c>
      <c r="Z459" s="7"/>
      <c r="AA459" s="74"/>
      <c r="AB459" s="101">
        <f>IF(OR(Z459="",AA459=""),0,IFERROR(INDEX(#REF!,MATCH(Z459,#REF!,0))*AA459,0))</f>
        <v>0</v>
      </c>
      <c r="AC459" s="7"/>
      <c r="AD459" s="74"/>
      <c r="AE459" s="101">
        <f>IF(OR(AC459="",AD459=""),0,IFERROR(INDEX(#REF!,MATCH(AC459,#REF!,0))*AD459,0))</f>
        <v>0</v>
      </c>
      <c r="AF459" s="7"/>
      <c r="AG459" s="74"/>
      <c r="AH459" s="101">
        <f>IF(OR(AF459="",AG459=""),0,IFERROR(INDEX(#REF!,MATCH(AF459,#REF!,0))*AG459,0))</f>
        <v>0</v>
      </c>
      <c r="AI459" s="7"/>
      <c r="AJ459" s="74"/>
      <c r="AK459" s="101">
        <f>IF(OR(AI459="",AJ459=""),0,IFERROR(INDEX(#REF!,MATCH(AI459,#REF!,0))*AJ459,0))</f>
        <v>0</v>
      </c>
      <c r="AL459" s="101">
        <f t="shared" si="69"/>
        <v>0</v>
      </c>
      <c r="AM459" s="7"/>
      <c r="AN459" s="72"/>
      <c r="AO459" s="99">
        <f>IF(OR(AM459="",AN459=""),0,IFERROR(INDEX(#REF!,MATCH(AM459,#REF!,0))*AN459,0))</f>
        <v>0</v>
      </c>
      <c r="AP459" s="7"/>
      <c r="AQ459" s="74"/>
      <c r="AR459" s="99">
        <f>IF(OR(AP459="",AQ459=""),0,IFERROR(INDEX(#REF!,MATCH(AP459,#REF!,0))*AQ459,0))</f>
        <v>0</v>
      </c>
      <c r="AS459" s="7"/>
      <c r="AT459" s="74"/>
      <c r="AU459" s="99">
        <f>IF(OR(AS459="",AT459=""),0,IFERROR(INDEX(#REF!,MATCH(AS459,#REF!,0))*AT459,0))</f>
        <v>0</v>
      </c>
      <c r="AV459" s="7"/>
      <c r="AW459" s="74"/>
      <c r="AX459" s="99">
        <f>IF(OR(AV459="",AW459=""),0,IFERROR(INDEX(#REF!,MATCH(AV459,#REF!,0))*AW459,0))</f>
        <v>0</v>
      </c>
      <c r="AY459" s="7"/>
      <c r="AZ459" s="77"/>
      <c r="BA459" s="99">
        <f>IF(OR(AY459="",AZ459=""),0,IFERROR(INDEX(#REF!,MATCH(AY459,#REF!,0))*AZ459,0))</f>
        <v>0</v>
      </c>
      <c r="BB459" s="100">
        <f t="shared" si="70"/>
        <v>0</v>
      </c>
      <c r="BC459" s="110" t="str">
        <f t="shared" si="71"/>
        <v/>
      </c>
      <c r="BD459" s="62"/>
    </row>
    <row r="460" spans="1:56" ht="19.5" customHeight="1" x14ac:dyDescent="0.45">
      <c r="A460" s="104" t="str">
        <f t="shared" si="63"/>
        <v/>
      </c>
      <c r="B460" s="5"/>
      <c r="C460" s="109"/>
      <c r="D460" s="107"/>
      <c r="E460" s="6"/>
      <c r="F460" s="85"/>
      <c r="G460" s="85"/>
      <c r="H460" s="104" t="str">
        <f t="shared" si="64"/>
        <v/>
      </c>
      <c r="I460" s="103" t="str">
        <f>IFERROR(INDEX(#REF!,MATCH(E460,#REF!,0)),"")</f>
        <v/>
      </c>
      <c r="J460" s="6"/>
      <c r="K460" s="103" t="str">
        <f t="shared" si="65"/>
        <v/>
      </c>
      <c r="L460" s="8"/>
      <c r="M460" s="102" t="str">
        <f t="shared" si="66"/>
        <v/>
      </c>
      <c r="N460" s="9"/>
      <c r="O460" s="103" t="str">
        <f t="shared" si="67"/>
        <v/>
      </c>
      <c r="P460" s="6"/>
      <c r="Q460" s="7"/>
      <c r="R460" s="10"/>
      <c r="S460" s="29" t="str">
        <f t="shared" ca="1" si="68"/>
        <v/>
      </c>
      <c r="T460" s="7"/>
      <c r="U460" s="74"/>
      <c r="V460" s="101">
        <f>IF(OR(T460="",U460=""),0,IFERROR(INDEX(#REF!,MATCH(T460,#REF!,0))*U460,0))</f>
        <v>0</v>
      </c>
      <c r="W460" s="7"/>
      <c r="X460" s="74"/>
      <c r="Y460" s="101">
        <f>IF(OR(W460="",X460=""),0,IFERROR(INDEX(#REF!,MATCH(W460,#REF!,0))*X460,0))</f>
        <v>0</v>
      </c>
      <c r="Z460" s="7"/>
      <c r="AA460" s="74"/>
      <c r="AB460" s="101">
        <f>IF(OR(Z460="",AA460=""),0,IFERROR(INDEX(#REF!,MATCH(Z460,#REF!,0))*AA460,0))</f>
        <v>0</v>
      </c>
      <c r="AC460" s="7"/>
      <c r="AD460" s="74"/>
      <c r="AE460" s="101">
        <f>IF(OR(AC460="",AD460=""),0,IFERROR(INDEX(#REF!,MATCH(AC460,#REF!,0))*AD460,0))</f>
        <v>0</v>
      </c>
      <c r="AF460" s="7"/>
      <c r="AG460" s="74"/>
      <c r="AH460" s="101">
        <f>IF(OR(AF460="",AG460=""),0,IFERROR(INDEX(#REF!,MATCH(AF460,#REF!,0))*AG460,0))</f>
        <v>0</v>
      </c>
      <c r="AI460" s="7"/>
      <c r="AJ460" s="74"/>
      <c r="AK460" s="101">
        <f>IF(OR(AI460="",AJ460=""),0,IFERROR(INDEX(#REF!,MATCH(AI460,#REF!,0))*AJ460,0))</f>
        <v>0</v>
      </c>
      <c r="AL460" s="101">
        <f t="shared" si="69"/>
        <v>0</v>
      </c>
      <c r="AM460" s="7"/>
      <c r="AN460" s="72"/>
      <c r="AO460" s="99">
        <f>IF(OR(AM460="",AN460=""),0,IFERROR(INDEX(#REF!,MATCH(AM460,#REF!,0))*AN460,0))</f>
        <v>0</v>
      </c>
      <c r="AP460" s="7"/>
      <c r="AQ460" s="74"/>
      <c r="AR460" s="99">
        <f>IF(OR(AP460="",AQ460=""),0,IFERROR(INDEX(#REF!,MATCH(AP460,#REF!,0))*AQ460,0))</f>
        <v>0</v>
      </c>
      <c r="AS460" s="7"/>
      <c r="AT460" s="74"/>
      <c r="AU460" s="99">
        <f>IF(OR(AS460="",AT460=""),0,IFERROR(INDEX(#REF!,MATCH(AS460,#REF!,0))*AT460,0))</f>
        <v>0</v>
      </c>
      <c r="AV460" s="7"/>
      <c r="AW460" s="74"/>
      <c r="AX460" s="99">
        <f>IF(OR(AV460="",AW460=""),0,IFERROR(INDEX(#REF!,MATCH(AV460,#REF!,0))*AW460,0))</f>
        <v>0</v>
      </c>
      <c r="AY460" s="7"/>
      <c r="AZ460" s="77"/>
      <c r="BA460" s="99">
        <f>IF(OR(AY460="",AZ460=""),0,IFERROR(INDEX(#REF!,MATCH(AY460,#REF!,0))*AZ460,0))</f>
        <v>0</v>
      </c>
      <c r="BB460" s="100">
        <f t="shared" si="70"/>
        <v>0</v>
      </c>
      <c r="BC460" s="110" t="str">
        <f t="shared" si="71"/>
        <v/>
      </c>
      <c r="BD460" s="62"/>
    </row>
    <row r="461" spans="1:56" ht="19.5" customHeight="1" x14ac:dyDescent="0.45">
      <c r="A461" s="104" t="str">
        <f t="shared" si="63"/>
        <v/>
      </c>
      <c r="B461" s="5"/>
      <c r="C461" s="109"/>
      <c r="D461" s="107"/>
      <c r="E461" s="6"/>
      <c r="F461" s="85"/>
      <c r="G461" s="85"/>
      <c r="H461" s="104" t="str">
        <f t="shared" si="64"/>
        <v/>
      </c>
      <c r="I461" s="103" t="str">
        <f>IFERROR(INDEX(#REF!,MATCH(E461,#REF!,0)),"")</f>
        <v/>
      </c>
      <c r="J461" s="6"/>
      <c r="K461" s="103" t="str">
        <f t="shared" si="65"/>
        <v/>
      </c>
      <c r="L461" s="8"/>
      <c r="M461" s="102" t="str">
        <f t="shared" si="66"/>
        <v/>
      </c>
      <c r="N461" s="9"/>
      <c r="O461" s="103" t="str">
        <f t="shared" si="67"/>
        <v/>
      </c>
      <c r="P461" s="6"/>
      <c r="Q461" s="7"/>
      <c r="R461" s="10"/>
      <c r="S461" s="29" t="str">
        <f t="shared" ca="1" si="68"/>
        <v/>
      </c>
      <c r="T461" s="7"/>
      <c r="U461" s="74"/>
      <c r="V461" s="101">
        <f>IF(OR(T461="",U461=""),0,IFERROR(INDEX(#REF!,MATCH(T461,#REF!,0))*U461,0))</f>
        <v>0</v>
      </c>
      <c r="W461" s="7"/>
      <c r="X461" s="74"/>
      <c r="Y461" s="101">
        <f>IF(OR(W461="",X461=""),0,IFERROR(INDEX(#REF!,MATCH(W461,#REF!,0))*X461,0))</f>
        <v>0</v>
      </c>
      <c r="Z461" s="7"/>
      <c r="AA461" s="74"/>
      <c r="AB461" s="101">
        <f>IF(OR(Z461="",AA461=""),0,IFERROR(INDEX(#REF!,MATCH(Z461,#REF!,0))*AA461,0))</f>
        <v>0</v>
      </c>
      <c r="AC461" s="7"/>
      <c r="AD461" s="74"/>
      <c r="AE461" s="101">
        <f>IF(OR(AC461="",AD461=""),0,IFERROR(INDEX(#REF!,MATCH(AC461,#REF!,0))*AD461,0))</f>
        <v>0</v>
      </c>
      <c r="AF461" s="7"/>
      <c r="AG461" s="74"/>
      <c r="AH461" s="101">
        <f>IF(OR(AF461="",AG461=""),0,IFERROR(INDEX(#REF!,MATCH(AF461,#REF!,0))*AG461,0))</f>
        <v>0</v>
      </c>
      <c r="AI461" s="7"/>
      <c r="AJ461" s="74"/>
      <c r="AK461" s="101">
        <f>IF(OR(AI461="",AJ461=""),0,IFERROR(INDEX(#REF!,MATCH(AI461,#REF!,0))*AJ461,0))</f>
        <v>0</v>
      </c>
      <c r="AL461" s="101">
        <f t="shared" si="69"/>
        <v>0</v>
      </c>
      <c r="AM461" s="7"/>
      <c r="AN461" s="72"/>
      <c r="AO461" s="99">
        <f>IF(OR(AM461="",AN461=""),0,IFERROR(INDEX(#REF!,MATCH(AM461,#REF!,0))*AN461,0))</f>
        <v>0</v>
      </c>
      <c r="AP461" s="7"/>
      <c r="AQ461" s="74"/>
      <c r="AR461" s="99">
        <f>IF(OR(AP461="",AQ461=""),0,IFERROR(INDEX(#REF!,MATCH(AP461,#REF!,0))*AQ461,0))</f>
        <v>0</v>
      </c>
      <c r="AS461" s="7"/>
      <c r="AT461" s="74"/>
      <c r="AU461" s="99">
        <f>IF(OR(AS461="",AT461=""),0,IFERROR(INDEX(#REF!,MATCH(AS461,#REF!,0))*AT461,0))</f>
        <v>0</v>
      </c>
      <c r="AV461" s="7"/>
      <c r="AW461" s="74"/>
      <c r="AX461" s="99">
        <f>IF(OR(AV461="",AW461=""),0,IFERROR(INDEX(#REF!,MATCH(AV461,#REF!,0))*AW461,0))</f>
        <v>0</v>
      </c>
      <c r="AY461" s="7"/>
      <c r="AZ461" s="77"/>
      <c r="BA461" s="99">
        <f>IF(OR(AY461="",AZ461=""),0,IFERROR(INDEX(#REF!,MATCH(AY461,#REF!,0))*AZ461,0))</f>
        <v>0</v>
      </c>
      <c r="BB461" s="100">
        <f t="shared" si="70"/>
        <v>0</v>
      </c>
      <c r="BC461" s="110" t="str">
        <f t="shared" si="71"/>
        <v/>
      </c>
      <c r="BD461" s="62"/>
    </row>
    <row r="462" spans="1:56" ht="19.5" customHeight="1" x14ac:dyDescent="0.45">
      <c r="A462" s="104" t="str">
        <f t="shared" si="63"/>
        <v/>
      </c>
      <c r="B462" s="5"/>
      <c r="C462" s="109"/>
      <c r="D462" s="107"/>
      <c r="E462" s="6"/>
      <c r="F462" s="85"/>
      <c r="G462" s="85"/>
      <c r="H462" s="104" t="str">
        <f t="shared" si="64"/>
        <v/>
      </c>
      <c r="I462" s="103" t="str">
        <f>IFERROR(INDEX(#REF!,MATCH(E462,#REF!,0)),"")</f>
        <v/>
      </c>
      <c r="J462" s="6"/>
      <c r="K462" s="103" t="str">
        <f t="shared" si="65"/>
        <v/>
      </c>
      <c r="L462" s="8"/>
      <c r="M462" s="102" t="str">
        <f t="shared" si="66"/>
        <v/>
      </c>
      <c r="N462" s="9"/>
      <c r="O462" s="103" t="str">
        <f t="shared" si="67"/>
        <v/>
      </c>
      <c r="P462" s="6"/>
      <c r="Q462" s="7"/>
      <c r="R462" s="10"/>
      <c r="S462" s="29" t="str">
        <f t="shared" ca="1" si="68"/>
        <v/>
      </c>
      <c r="T462" s="7"/>
      <c r="U462" s="74"/>
      <c r="V462" s="101">
        <f>IF(OR(T462="",U462=""),0,IFERROR(INDEX(#REF!,MATCH(T462,#REF!,0))*U462,0))</f>
        <v>0</v>
      </c>
      <c r="W462" s="7"/>
      <c r="X462" s="74"/>
      <c r="Y462" s="101">
        <f>IF(OR(W462="",X462=""),0,IFERROR(INDEX(#REF!,MATCH(W462,#REF!,0))*X462,0))</f>
        <v>0</v>
      </c>
      <c r="Z462" s="7"/>
      <c r="AA462" s="74"/>
      <c r="AB462" s="101">
        <f>IF(OR(Z462="",AA462=""),0,IFERROR(INDEX(#REF!,MATCH(Z462,#REF!,0))*AA462,0))</f>
        <v>0</v>
      </c>
      <c r="AC462" s="7"/>
      <c r="AD462" s="74"/>
      <c r="AE462" s="101">
        <f>IF(OR(AC462="",AD462=""),0,IFERROR(INDEX(#REF!,MATCH(AC462,#REF!,0))*AD462,0))</f>
        <v>0</v>
      </c>
      <c r="AF462" s="7"/>
      <c r="AG462" s="74"/>
      <c r="AH462" s="101">
        <f>IF(OR(AF462="",AG462=""),0,IFERROR(INDEX(#REF!,MATCH(AF462,#REF!,0))*AG462,0))</f>
        <v>0</v>
      </c>
      <c r="AI462" s="7"/>
      <c r="AJ462" s="74"/>
      <c r="AK462" s="101">
        <f>IF(OR(AI462="",AJ462=""),0,IFERROR(INDEX(#REF!,MATCH(AI462,#REF!,0))*AJ462,0))</f>
        <v>0</v>
      </c>
      <c r="AL462" s="101">
        <f t="shared" si="69"/>
        <v>0</v>
      </c>
      <c r="AM462" s="7"/>
      <c r="AN462" s="72"/>
      <c r="AO462" s="99">
        <f>IF(OR(AM462="",AN462=""),0,IFERROR(INDEX(#REF!,MATCH(AM462,#REF!,0))*AN462,0))</f>
        <v>0</v>
      </c>
      <c r="AP462" s="7"/>
      <c r="AQ462" s="74"/>
      <c r="AR462" s="99">
        <f>IF(OR(AP462="",AQ462=""),0,IFERROR(INDEX(#REF!,MATCH(AP462,#REF!,0))*AQ462,0))</f>
        <v>0</v>
      </c>
      <c r="AS462" s="7"/>
      <c r="AT462" s="74"/>
      <c r="AU462" s="99">
        <f>IF(OR(AS462="",AT462=""),0,IFERROR(INDEX(#REF!,MATCH(AS462,#REF!,0))*AT462,0))</f>
        <v>0</v>
      </c>
      <c r="AV462" s="7"/>
      <c r="AW462" s="74"/>
      <c r="AX462" s="99">
        <f>IF(OR(AV462="",AW462=""),0,IFERROR(INDEX(#REF!,MATCH(AV462,#REF!,0))*AW462,0))</f>
        <v>0</v>
      </c>
      <c r="AY462" s="7"/>
      <c r="AZ462" s="77"/>
      <c r="BA462" s="99">
        <f>IF(OR(AY462="",AZ462=""),0,IFERROR(INDEX(#REF!,MATCH(AY462,#REF!,0))*AZ462,0))</f>
        <v>0</v>
      </c>
      <c r="BB462" s="100">
        <f t="shared" si="70"/>
        <v>0</v>
      </c>
      <c r="BC462" s="110" t="str">
        <f t="shared" si="71"/>
        <v/>
      </c>
      <c r="BD462" s="62"/>
    </row>
    <row r="463" spans="1:56" ht="19.5" customHeight="1" x14ac:dyDescent="0.45">
      <c r="A463" s="104" t="str">
        <f t="shared" si="63"/>
        <v/>
      </c>
      <c r="B463" s="5"/>
      <c r="C463" s="109"/>
      <c r="D463" s="107"/>
      <c r="E463" s="6"/>
      <c r="F463" s="85"/>
      <c r="G463" s="85"/>
      <c r="H463" s="104" t="str">
        <f t="shared" si="64"/>
        <v/>
      </c>
      <c r="I463" s="103" t="str">
        <f>IFERROR(INDEX(#REF!,MATCH(E463,#REF!,0)),"")</f>
        <v/>
      </c>
      <c r="J463" s="6"/>
      <c r="K463" s="103" t="str">
        <f t="shared" si="65"/>
        <v/>
      </c>
      <c r="L463" s="8"/>
      <c r="M463" s="102" t="str">
        <f t="shared" si="66"/>
        <v/>
      </c>
      <c r="N463" s="9"/>
      <c r="O463" s="103" t="str">
        <f t="shared" si="67"/>
        <v/>
      </c>
      <c r="P463" s="6"/>
      <c r="Q463" s="7"/>
      <c r="R463" s="10"/>
      <c r="S463" s="29" t="str">
        <f t="shared" ca="1" si="68"/>
        <v/>
      </c>
      <c r="T463" s="7"/>
      <c r="U463" s="74"/>
      <c r="V463" s="101">
        <f>IF(OR(T463="",U463=""),0,IFERROR(INDEX(#REF!,MATCH(T463,#REF!,0))*U463,0))</f>
        <v>0</v>
      </c>
      <c r="W463" s="7"/>
      <c r="X463" s="74"/>
      <c r="Y463" s="101">
        <f>IF(OR(W463="",X463=""),0,IFERROR(INDEX(#REF!,MATCH(W463,#REF!,0))*X463,0))</f>
        <v>0</v>
      </c>
      <c r="Z463" s="7"/>
      <c r="AA463" s="74"/>
      <c r="AB463" s="101">
        <f>IF(OR(Z463="",AA463=""),0,IFERROR(INDEX(#REF!,MATCH(Z463,#REF!,0))*AA463,0))</f>
        <v>0</v>
      </c>
      <c r="AC463" s="7"/>
      <c r="AD463" s="74"/>
      <c r="AE463" s="101">
        <f>IF(OR(AC463="",AD463=""),0,IFERROR(INDEX(#REF!,MATCH(AC463,#REF!,0))*AD463,0))</f>
        <v>0</v>
      </c>
      <c r="AF463" s="7"/>
      <c r="AG463" s="74"/>
      <c r="AH463" s="101">
        <f>IF(OR(AF463="",AG463=""),0,IFERROR(INDEX(#REF!,MATCH(AF463,#REF!,0))*AG463,0))</f>
        <v>0</v>
      </c>
      <c r="AI463" s="7"/>
      <c r="AJ463" s="74"/>
      <c r="AK463" s="101">
        <f>IF(OR(AI463="",AJ463=""),0,IFERROR(INDEX(#REF!,MATCH(AI463,#REF!,0))*AJ463,0))</f>
        <v>0</v>
      </c>
      <c r="AL463" s="101">
        <f t="shared" si="69"/>
        <v>0</v>
      </c>
      <c r="AM463" s="7"/>
      <c r="AN463" s="72"/>
      <c r="AO463" s="99">
        <f>IF(OR(AM463="",AN463=""),0,IFERROR(INDEX(#REF!,MATCH(AM463,#REF!,0))*AN463,0))</f>
        <v>0</v>
      </c>
      <c r="AP463" s="7"/>
      <c r="AQ463" s="74"/>
      <c r="AR463" s="99">
        <f>IF(OR(AP463="",AQ463=""),0,IFERROR(INDEX(#REF!,MATCH(AP463,#REF!,0))*AQ463,0))</f>
        <v>0</v>
      </c>
      <c r="AS463" s="7"/>
      <c r="AT463" s="74"/>
      <c r="AU463" s="99">
        <f>IF(OR(AS463="",AT463=""),0,IFERROR(INDEX(#REF!,MATCH(AS463,#REF!,0))*AT463,0))</f>
        <v>0</v>
      </c>
      <c r="AV463" s="7"/>
      <c r="AW463" s="74"/>
      <c r="AX463" s="99">
        <f>IF(OR(AV463="",AW463=""),0,IFERROR(INDEX(#REF!,MATCH(AV463,#REF!,0))*AW463,0))</f>
        <v>0</v>
      </c>
      <c r="AY463" s="7"/>
      <c r="AZ463" s="77"/>
      <c r="BA463" s="99">
        <f>IF(OR(AY463="",AZ463=""),0,IFERROR(INDEX(#REF!,MATCH(AY463,#REF!,0))*AZ463,0))</f>
        <v>0</v>
      </c>
      <c r="BB463" s="100">
        <f t="shared" si="70"/>
        <v>0</v>
      </c>
      <c r="BC463" s="110" t="str">
        <f t="shared" si="71"/>
        <v/>
      </c>
      <c r="BD463" s="62"/>
    </row>
    <row r="464" spans="1:56" ht="19.5" customHeight="1" x14ac:dyDescent="0.45">
      <c r="A464" s="104" t="str">
        <f t="shared" si="63"/>
        <v/>
      </c>
      <c r="B464" s="5"/>
      <c r="C464" s="109"/>
      <c r="D464" s="107"/>
      <c r="E464" s="6"/>
      <c r="F464" s="85"/>
      <c r="G464" s="85"/>
      <c r="H464" s="104" t="str">
        <f t="shared" si="64"/>
        <v/>
      </c>
      <c r="I464" s="103" t="str">
        <f>IFERROR(INDEX(#REF!,MATCH(E464,#REF!,0)),"")</f>
        <v/>
      </c>
      <c r="J464" s="6"/>
      <c r="K464" s="103" t="str">
        <f t="shared" si="65"/>
        <v/>
      </c>
      <c r="L464" s="8"/>
      <c r="M464" s="102" t="str">
        <f t="shared" si="66"/>
        <v/>
      </c>
      <c r="N464" s="9"/>
      <c r="O464" s="103" t="str">
        <f t="shared" si="67"/>
        <v/>
      </c>
      <c r="P464" s="6"/>
      <c r="Q464" s="7"/>
      <c r="R464" s="10"/>
      <c r="S464" s="29" t="str">
        <f t="shared" ca="1" si="68"/>
        <v/>
      </c>
      <c r="T464" s="7"/>
      <c r="U464" s="74"/>
      <c r="V464" s="101">
        <f>IF(OR(T464="",U464=""),0,IFERROR(INDEX(#REF!,MATCH(T464,#REF!,0))*U464,0))</f>
        <v>0</v>
      </c>
      <c r="W464" s="7"/>
      <c r="X464" s="74"/>
      <c r="Y464" s="101">
        <f>IF(OR(W464="",X464=""),0,IFERROR(INDEX(#REF!,MATCH(W464,#REF!,0))*X464,0))</f>
        <v>0</v>
      </c>
      <c r="Z464" s="7"/>
      <c r="AA464" s="74"/>
      <c r="AB464" s="101">
        <f>IF(OR(Z464="",AA464=""),0,IFERROR(INDEX(#REF!,MATCH(Z464,#REF!,0))*AA464,0))</f>
        <v>0</v>
      </c>
      <c r="AC464" s="7"/>
      <c r="AD464" s="74"/>
      <c r="AE464" s="101">
        <f>IF(OR(AC464="",AD464=""),0,IFERROR(INDEX(#REF!,MATCH(AC464,#REF!,0))*AD464,0))</f>
        <v>0</v>
      </c>
      <c r="AF464" s="7"/>
      <c r="AG464" s="74"/>
      <c r="AH464" s="101">
        <f>IF(OR(AF464="",AG464=""),0,IFERROR(INDEX(#REF!,MATCH(AF464,#REF!,0))*AG464,0))</f>
        <v>0</v>
      </c>
      <c r="AI464" s="7"/>
      <c r="AJ464" s="74"/>
      <c r="AK464" s="101">
        <f>IF(OR(AI464="",AJ464=""),0,IFERROR(INDEX(#REF!,MATCH(AI464,#REF!,0))*AJ464,0))</f>
        <v>0</v>
      </c>
      <c r="AL464" s="101">
        <f t="shared" si="69"/>
        <v>0</v>
      </c>
      <c r="AM464" s="7"/>
      <c r="AN464" s="72"/>
      <c r="AO464" s="99">
        <f>IF(OR(AM464="",AN464=""),0,IFERROR(INDEX(#REF!,MATCH(AM464,#REF!,0))*AN464,0))</f>
        <v>0</v>
      </c>
      <c r="AP464" s="7"/>
      <c r="AQ464" s="74"/>
      <c r="AR464" s="99">
        <f>IF(OR(AP464="",AQ464=""),0,IFERROR(INDEX(#REF!,MATCH(AP464,#REF!,0))*AQ464,0))</f>
        <v>0</v>
      </c>
      <c r="AS464" s="7"/>
      <c r="AT464" s="74"/>
      <c r="AU464" s="99">
        <f>IF(OR(AS464="",AT464=""),0,IFERROR(INDEX(#REF!,MATCH(AS464,#REF!,0))*AT464,0))</f>
        <v>0</v>
      </c>
      <c r="AV464" s="7"/>
      <c r="AW464" s="74"/>
      <c r="AX464" s="99">
        <f>IF(OR(AV464="",AW464=""),0,IFERROR(INDEX(#REF!,MATCH(AV464,#REF!,0))*AW464,0))</f>
        <v>0</v>
      </c>
      <c r="AY464" s="7"/>
      <c r="AZ464" s="77"/>
      <c r="BA464" s="99">
        <f>IF(OR(AY464="",AZ464=""),0,IFERROR(INDEX(#REF!,MATCH(AY464,#REF!,0))*AZ464,0))</f>
        <v>0</v>
      </c>
      <c r="BB464" s="100">
        <f t="shared" si="70"/>
        <v>0</v>
      </c>
      <c r="BC464" s="110" t="str">
        <f t="shared" si="71"/>
        <v/>
      </c>
      <c r="BD464" s="62"/>
    </row>
    <row r="465" spans="1:56" ht="19.5" customHeight="1" x14ac:dyDescent="0.45">
      <c r="A465" s="104" t="str">
        <f t="shared" si="63"/>
        <v/>
      </c>
      <c r="B465" s="5"/>
      <c r="C465" s="109"/>
      <c r="D465" s="107"/>
      <c r="E465" s="6"/>
      <c r="F465" s="85"/>
      <c r="G465" s="85"/>
      <c r="H465" s="104" t="str">
        <f t="shared" si="64"/>
        <v/>
      </c>
      <c r="I465" s="103" t="str">
        <f>IFERROR(INDEX(#REF!,MATCH(E465,#REF!,0)),"")</f>
        <v/>
      </c>
      <c r="J465" s="6"/>
      <c r="K465" s="103" t="str">
        <f t="shared" si="65"/>
        <v/>
      </c>
      <c r="L465" s="8"/>
      <c r="M465" s="102" t="str">
        <f t="shared" si="66"/>
        <v/>
      </c>
      <c r="N465" s="9"/>
      <c r="O465" s="103" t="str">
        <f t="shared" si="67"/>
        <v/>
      </c>
      <c r="P465" s="6"/>
      <c r="Q465" s="7"/>
      <c r="R465" s="10"/>
      <c r="S465" s="29" t="str">
        <f t="shared" ca="1" si="68"/>
        <v/>
      </c>
      <c r="T465" s="7"/>
      <c r="U465" s="74"/>
      <c r="V465" s="101">
        <f>IF(OR(T465="",U465=""),0,IFERROR(INDEX(#REF!,MATCH(T465,#REF!,0))*U465,0))</f>
        <v>0</v>
      </c>
      <c r="W465" s="7"/>
      <c r="X465" s="74"/>
      <c r="Y465" s="101">
        <f>IF(OR(W465="",X465=""),0,IFERROR(INDEX(#REF!,MATCH(W465,#REF!,0))*X465,0))</f>
        <v>0</v>
      </c>
      <c r="Z465" s="7"/>
      <c r="AA465" s="74"/>
      <c r="AB465" s="101">
        <f>IF(OR(Z465="",AA465=""),0,IFERROR(INDEX(#REF!,MATCH(Z465,#REF!,0))*AA465,0))</f>
        <v>0</v>
      </c>
      <c r="AC465" s="7"/>
      <c r="AD465" s="74"/>
      <c r="AE465" s="101">
        <f>IF(OR(AC465="",AD465=""),0,IFERROR(INDEX(#REF!,MATCH(AC465,#REF!,0))*AD465,0))</f>
        <v>0</v>
      </c>
      <c r="AF465" s="7"/>
      <c r="AG465" s="74"/>
      <c r="AH465" s="101">
        <f>IF(OR(AF465="",AG465=""),0,IFERROR(INDEX(#REF!,MATCH(AF465,#REF!,0))*AG465,0))</f>
        <v>0</v>
      </c>
      <c r="AI465" s="7"/>
      <c r="AJ465" s="74"/>
      <c r="AK465" s="101">
        <f>IF(OR(AI465="",AJ465=""),0,IFERROR(INDEX(#REF!,MATCH(AI465,#REF!,0))*AJ465,0))</f>
        <v>0</v>
      </c>
      <c r="AL465" s="101">
        <f t="shared" si="69"/>
        <v>0</v>
      </c>
      <c r="AM465" s="7"/>
      <c r="AN465" s="72"/>
      <c r="AO465" s="99">
        <f>IF(OR(AM465="",AN465=""),0,IFERROR(INDEX(#REF!,MATCH(AM465,#REF!,0))*AN465,0))</f>
        <v>0</v>
      </c>
      <c r="AP465" s="7"/>
      <c r="AQ465" s="74"/>
      <c r="AR465" s="99">
        <f>IF(OR(AP465="",AQ465=""),0,IFERROR(INDEX(#REF!,MATCH(AP465,#REF!,0))*AQ465,0))</f>
        <v>0</v>
      </c>
      <c r="AS465" s="7"/>
      <c r="AT465" s="74"/>
      <c r="AU465" s="99">
        <f>IF(OR(AS465="",AT465=""),0,IFERROR(INDEX(#REF!,MATCH(AS465,#REF!,0))*AT465,0))</f>
        <v>0</v>
      </c>
      <c r="AV465" s="7"/>
      <c r="AW465" s="74"/>
      <c r="AX465" s="99">
        <f>IF(OR(AV465="",AW465=""),0,IFERROR(INDEX(#REF!,MATCH(AV465,#REF!,0))*AW465,0))</f>
        <v>0</v>
      </c>
      <c r="AY465" s="7"/>
      <c r="AZ465" s="77"/>
      <c r="BA465" s="99">
        <f>IF(OR(AY465="",AZ465=""),0,IFERROR(INDEX(#REF!,MATCH(AY465,#REF!,0))*AZ465,0))</f>
        <v>0</v>
      </c>
      <c r="BB465" s="100">
        <f t="shared" si="70"/>
        <v>0</v>
      </c>
      <c r="BC465" s="110" t="str">
        <f t="shared" si="71"/>
        <v/>
      </c>
      <c r="BD465" s="62"/>
    </row>
    <row r="466" spans="1:56" ht="19.5" customHeight="1" x14ac:dyDescent="0.45">
      <c r="A466" s="104" t="str">
        <f t="shared" si="63"/>
        <v/>
      </c>
      <c r="B466" s="5"/>
      <c r="C466" s="109"/>
      <c r="D466" s="107"/>
      <c r="E466" s="6"/>
      <c r="F466" s="85"/>
      <c r="G466" s="85"/>
      <c r="H466" s="104" t="str">
        <f t="shared" si="64"/>
        <v/>
      </c>
      <c r="I466" s="103" t="str">
        <f>IFERROR(INDEX(#REF!,MATCH(E466,#REF!,0)),"")</f>
        <v/>
      </c>
      <c r="J466" s="6"/>
      <c r="K466" s="103" t="str">
        <f t="shared" si="65"/>
        <v/>
      </c>
      <c r="L466" s="8"/>
      <c r="M466" s="102" t="str">
        <f t="shared" si="66"/>
        <v/>
      </c>
      <c r="N466" s="9"/>
      <c r="O466" s="103" t="str">
        <f t="shared" si="67"/>
        <v/>
      </c>
      <c r="P466" s="6"/>
      <c r="Q466" s="7"/>
      <c r="R466" s="10"/>
      <c r="S466" s="29" t="str">
        <f t="shared" ca="1" si="68"/>
        <v/>
      </c>
      <c r="T466" s="7"/>
      <c r="U466" s="74"/>
      <c r="V466" s="101">
        <f>IF(OR(T466="",U466=""),0,IFERROR(INDEX(#REF!,MATCH(T466,#REF!,0))*U466,0))</f>
        <v>0</v>
      </c>
      <c r="W466" s="7"/>
      <c r="X466" s="74"/>
      <c r="Y466" s="101">
        <f>IF(OR(W466="",X466=""),0,IFERROR(INDEX(#REF!,MATCH(W466,#REF!,0))*X466,0))</f>
        <v>0</v>
      </c>
      <c r="Z466" s="7"/>
      <c r="AA466" s="74"/>
      <c r="AB466" s="101">
        <f>IF(OR(Z466="",AA466=""),0,IFERROR(INDEX(#REF!,MATCH(Z466,#REF!,0))*AA466,0))</f>
        <v>0</v>
      </c>
      <c r="AC466" s="7"/>
      <c r="AD466" s="74"/>
      <c r="AE466" s="101">
        <f>IF(OR(AC466="",AD466=""),0,IFERROR(INDEX(#REF!,MATCH(AC466,#REF!,0))*AD466,0))</f>
        <v>0</v>
      </c>
      <c r="AF466" s="7"/>
      <c r="AG466" s="74"/>
      <c r="AH466" s="101">
        <f>IF(OR(AF466="",AG466=""),0,IFERROR(INDEX(#REF!,MATCH(AF466,#REF!,0))*AG466,0))</f>
        <v>0</v>
      </c>
      <c r="AI466" s="7"/>
      <c r="AJ466" s="74"/>
      <c r="AK466" s="101">
        <f>IF(OR(AI466="",AJ466=""),0,IFERROR(INDEX(#REF!,MATCH(AI466,#REF!,0))*AJ466,0))</f>
        <v>0</v>
      </c>
      <c r="AL466" s="101">
        <f t="shared" si="69"/>
        <v>0</v>
      </c>
      <c r="AM466" s="7"/>
      <c r="AN466" s="72"/>
      <c r="AO466" s="99">
        <f>IF(OR(AM466="",AN466=""),0,IFERROR(INDEX(#REF!,MATCH(AM466,#REF!,0))*AN466,0))</f>
        <v>0</v>
      </c>
      <c r="AP466" s="7"/>
      <c r="AQ466" s="74"/>
      <c r="AR466" s="99">
        <f>IF(OR(AP466="",AQ466=""),0,IFERROR(INDEX(#REF!,MATCH(AP466,#REF!,0))*AQ466,0))</f>
        <v>0</v>
      </c>
      <c r="AS466" s="7"/>
      <c r="AT466" s="74"/>
      <c r="AU466" s="99">
        <f>IF(OR(AS466="",AT466=""),0,IFERROR(INDEX(#REF!,MATCH(AS466,#REF!,0))*AT466,0))</f>
        <v>0</v>
      </c>
      <c r="AV466" s="7"/>
      <c r="AW466" s="74"/>
      <c r="AX466" s="99">
        <f>IF(OR(AV466="",AW466=""),0,IFERROR(INDEX(#REF!,MATCH(AV466,#REF!,0))*AW466,0))</f>
        <v>0</v>
      </c>
      <c r="AY466" s="7"/>
      <c r="AZ466" s="77"/>
      <c r="BA466" s="99">
        <f>IF(OR(AY466="",AZ466=""),0,IFERROR(INDEX(#REF!,MATCH(AY466,#REF!,0))*AZ466,0))</f>
        <v>0</v>
      </c>
      <c r="BB466" s="100">
        <f t="shared" si="70"/>
        <v>0</v>
      </c>
      <c r="BC466" s="110" t="str">
        <f t="shared" si="71"/>
        <v/>
      </c>
      <c r="BD466" s="62"/>
    </row>
    <row r="467" spans="1:56" ht="19.5" customHeight="1" x14ac:dyDescent="0.45">
      <c r="A467" s="104" t="str">
        <f t="shared" si="63"/>
        <v/>
      </c>
      <c r="B467" s="5"/>
      <c r="C467" s="109"/>
      <c r="D467" s="107"/>
      <c r="E467" s="6"/>
      <c r="F467" s="85"/>
      <c r="G467" s="85"/>
      <c r="H467" s="104" t="str">
        <f t="shared" si="64"/>
        <v/>
      </c>
      <c r="I467" s="103" t="str">
        <f>IFERROR(INDEX(#REF!,MATCH(E467,#REF!,0)),"")</f>
        <v/>
      </c>
      <c r="J467" s="6"/>
      <c r="K467" s="103" t="str">
        <f t="shared" si="65"/>
        <v/>
      </c>
      <c r="L467" s="8"/>
      <c r="M467" s="102" t="str">
        <f t="shared" si="66"/>
        <v/>
      </c>
      <c r="N467" s="9"/>
      <c r="O467" s="103" t="str">
        <f t="shared" si="67"/>
        <v/>
      </c>
      <c r="P467" s="6"/>
      <c r="Q467" s="7"/>
      <c r="R467" s="10"/>
      <c r="S467" s="29" t="str">
        <f t="shared" ca="1" si="68"/>
        <v/>
      </c>
      <c r="T467" s="7"/>
      <c r="U467" s="74"/>
      <c r="V467" s="101">
        <f>IF(OR(T467="",U467=""),0,IFERROR(INDEX(#REF!,MATCH(T467,#REF!,0))*U467,0))</f>
        <v>0</v>
      </c>
      <c r="W467" s="7"/>
      <c r="X467" s="74"/>
      <c r="Y467" s="101">
        <f>IF(OR(W467="",X467=""),0,IFERROR(INDEX(#REF!,MATCH(W467,#REF!,0))*X467,0))</f>
        <v>0</v>
      </c>
      <c r="Z467" s="7"/>
      <c r="AA467" s="74"/>
      <c r="AB467" s="101">
        <f>IF(OR(Z467="",AA467=""),0,IFERROR(INDEX(#REF!,MATCH(Z467,#REF!,0))*AA467,0))</f>
        <v>0</v>
      </c>
      <c r="AC467" s="7"/>
      <c r="AD467" s="74"/>
      <c r="AE467" s="101">
        <f>IF(OR(AC467="",AD467=""),0,IFERROR(INDEX(#REF!,MATCH(AC467,#REF!,0))*AD467,0))</f>
        <v>0</v>
      </c>
      <c r="AF467" s="7"/>
      <c r="AG467" s="74"/>
      <c r="AH467" s="101">
        <f>IF(OR(AF467="",AG467=""),0,IFERROR(INDEX(#REF!,MATCH(AF467,#REF!,0))*AG467,0))</f>
        <v>0</v>
      </c>
      <c r="AI467" s="7"/>
      <c r="AJ467" s="74"/>
      <c r="AK467" s="101">
        <f>IF(OR(AI467="",AJ467=""),0,IFERROR(INDEX(#REF!,MATCH(AI467,#REF!,0))*AJ467,0))</f>
        <v>0</v>
      </c>
      <c r="AL467" s="101">
        <f t="shared" si="69"/>
        <v>0</v>
      </c>
      <c r="AM467" s="7"/>
      <c r="AN467" s="72"/>
      <c r="AO467" s="99">
        <f>IF(OR(AM467="",AN467=""),0,IFERROR(INDEX(#REF!,MATCH(AM467,#REF!,0))*AN467,0))</f>
        <v>0</v>
      </c>
      <c r="AP467" s="7"/>
      <c r="AQ467" s="74"/>
      <c r="AR467" s="99">
        <f>IF(OR(AP467="",AQ467=""),0,IFERROR(INDEX(#REF!,MATCH(AP467,#REF!,0))*AQ467,0))</f>
        <v>0</v>
      </c>
      <c r="AS467" s="7"/>
      <c r="AT467" s="74"/>
      <c r="AU467" s="99">
        <f>IF(OR(AS467="",AT467=""),0,IFERROR(INDEX(#REF!,MATCH(AS467,#REF!,0))*AT467,0))</f>
        <v>0</v>
      </c>
      <c r="AV467" s="7"/>
      <c r="AW467" s="74"/>
      <c r="AX467" s="99">
        <f>IF(OR(AV467="",AW467=""),0,IFERROR(INDEX(#REF!,MATCH(AV467,#REF!,0))*AW467,0))</f>
        <v>0</v>
      </c>
      <c r="AY467" s="7"/>
      <c r="AZ467" s="77"/>
      <c r="BA467" s="99">
        <f>IF(OR(AY467="",AZ467=""),0,IFERROR(INDEX(#REF!,MATCH(AY467,#REF!,0))*AZ467,0))</f>
        <v>0</v>
      </c>
      <c r="BB467" s="100">
        <f t="shared" si="70"/>
        <v>0</v>
      </c>
      <c r="BC467" s="110" t="str">
        <f t="shared" si="71"/>
        <v/>
      </c>
      <c r="BD467" s="62"/>
    </row>
    <row r="468" spans="1:56" ht="19.5" customHeight="1" x14ac:dyDescent="0.45">
      <c r="A468" s="104" t="str">
        <f t="shared" si="63"/>
        <v/>
      </c>
      <c r="B468" s="5"/>
      <c r="C468" s="109"/>
      <c r="D468" s="107"/>
      <c r="E468" s="6"/>
      <c r="F468" s="85"/>
      <c r="G468" s="85"/>
      <c r="H468" s="104" t="str">
        <f t="shared" si="64"/>
        <v/>
      </c>
      <c r="I468" s="103" t="str">
        <f>IFERROR(INDEX(#REF!,MATCH(E468,#REF!,0)),"")</f>
        <v/>
      </c>
      <c r="J468" s="6"/>
      <c r="K468" s="103" t="str">
        <f t="shared" si="65"/>
        <v/>
      </c>
      <c r="L468" s="8"/>
      <c r="M468" s="102" t="str">
        <f t="shared" si="66"/>
        <v/>
      </c>
      <c r="N468" s="9"/>
      <c r="O468" s="103" t="str">
        <f t="shared" si="67"/>
        <v/>
      </c>
      <c r="P468" s="6"/>
      <c r="Q468" s="7"/>
      <c r="R468" s="10"/>
      <c r="S468" s="29" t="str">
        <f t="shared" ca="1" si="68"/>
        <v/>
      </c>
      <c r="T468" s="7"/>
      <c r="U468" s="74"/>
      <c r="V468" s="101">
        <f>IF(OR(T468="",U468=""),0,IFERROR(INDEX(#REF!,MATCH(T468,#REF!,0))*U468,0))</f>
        <v>0</v>
      </c>
      <c r="W468" s="7"/>
      <c r="X468" s="74"/>
      <c r="Y468" s="101">
        <f>IF(OR(W468="",X468=""),0,IFERROR(INDEX(#REF!,MATCH(W468,#REF!,0))*X468,0))</f>
        <v>0</v>
      </c>
      <c r="Z468" s="7"/>
      <c r="AA468" s="74"/>
      <c r="AB468" s="101">
        <f>IF(OR(Z468="",AA468=""),0,IFERROR(INDEX(#REF!,MATCH(Z468,#REF!,0))*AA468,0))</f>
        <v>0</v>
      </c>
      <c r="AC468" s="7"/>
      <c r="AD468" s="74"/>
      <c r="AE468" s="101">
        <f>IF(OR(AC468="",AD468=""),0,IFERROR(INDEX(#REF!,MATCH(AC468,#REF!,0))*AD468,0))</f>
        <v>0</v>
      </c>
      <c r="AF468" s="7"/>
      <c r="AG468" s="74"/>
      <c r="AH468" s="101">
        <f>IF(OR(AF468="",AG468=""),0,IFERROR(INDEX(#REF!,MATCH(AF468,#REF!,0))*AG468,0))</f>
        <v>0</v>
      </c>
      <c r="AI468" s="7"/>
      <c r="AJ468" s="74"/>
      <c r="AK468" s="101">
        <f>IF(OR(AI468="",AJ468=""),0,IFERROR(INDEX(#REF!,MATCH(AI468,#REF!,0))*AJ468,0))</f>
        <v>0</v>
      </c>
      <c r="AL468" s="101">
        <f t="shared" si="69"/>
        <v>0</v>
      </c>
      <c r="AM468" s="7"/>
      <c r="AN468" s="72"/>
      <c r="AO468" s="99">
        <f>IF(OR(AM468="",AN468=""),0,IFERROR(INDEX(#REF!,MATCH(AM468,#REF!,0))*AN468,0))</f>
        <v>0</v>
      </c>
      <c r="AP468" s="7"/>
      <c r="AQ468" s="74"/>
      <c r="AR468" s="99">
        <f>IF(OR(AP468="",AQ468=""),0,IFERROR(INDEX(#REF!,MATCH(AP468,#REF!,0))*AQ468,0))</f>
        <v>0</v>
      </c>
      <c r="AS468" s="7"/>
      <c r="AT468" s="74"/>
      <c r="AU468" s="99">
        <f>IF(OR(AS468="",AT468=""),0,IFERROR(INDEX(#REF!,MATCH(AS468,#REF!,0))*AT468,0))</f>
        <v>0</v>
      </c>
      <c r="AV468" s="7"/>
      <c r="AW468" s="74"/>
      <c r="AX468" s="99">
        <f>IF(OR(AV468="",AW468=""),0,IFERROR(INDEX(#REF!,MATCH(AV468,#REF!,0))*AW468,0))</f>
        <v>0</v>
      </c>
      <c r="AY468" s="7"/>
      <c r="AZ468" s="77"/>
      <c r="BA468" s="99">
        <f>IF(OR(AY468="",AZ468=""),0,IFERROR(INDEX(#REF!,MATCH(AY468,#REF!,0))*AZ468,0))</f>
        <v>0</v>
      </c>
      <c r="BB468" s="100">
        <f t="shared" si="70"/>
        <v>0</v>
      </c>
      <c r="BC468" s="110" t="str">
        <f t="shared" si="71"/>
        <v/>
      </c>
      <c r="BD468" s="62"/>
    </row>
    <row r="469" spans="1:56" ht="19.5" customHeight="1" x14ac:dyDescent="0.45">
      <c r="A469" s="104" t="str">
        <f t="shared" ref="A469:A500" si="72">IF(B469="","","BK-"&amp;TEXT(ROW()-4,"0000"))</f>
        <v/>
      </c>
      <c r="B469" s="5"/>
      <c r="C469" s="109"/>
      <c r="D469" s="107"/>
      <c r="E469" s="6"/>
      <c r="F469" s="85"/>
      <c r="G469" s="85"/>
      <c r="H469" s="104" t="str">
        <f t="shared" si="64"/>
        <v/>
      </c>
      <c r="I469" s="103" t="str">
        <f>IFERROR(INDEX(#REF!,MATCH(E469,#REF!,0)),"")</f>
        <v/>
      </c>
      <c r="J469" s="6"/>
      <c r="K469" s="103" t="str">
        <f t="shared" si="65"/>
        <v/>
      </c>
      <c r="L469" s="8"/>
      <c r="M469" s="102" t="str">
        <f t="shared" si="66"/>
        <v/>
      </c>
      <c r="N469" s="9"/>
      <c r="O469" s="103" t="str">
        <f t="shared" si="67"/>
        <v/>
      </c>
      <c r="P469" s="6"/>
      <c r="Q469" s="7"/>
      <c r="R469" s="10"/>
      <c r="S469" s="29" t="str">
        <f t="shared" ca="1" si="68"/>
        <v/>
      </c>
      <c r="T469" s="7"/>
      <c r="U469" s="74"/>
      <c r="V469" s="101">
        <f>IF(OR(T469="",U469=""),0,IFERROR(INDEX(#REF!,MATCH(T469,#REF!,0))*U469,0))</f>
        <v>0</v>
      </c>
      <c r="W469" s="7"/>
      <c r="X469" s="74"/>
      <c r="Y469" s="101">
        <f>IF(OR(W469="",X469=""),0,IFERROR(INDEX(#REF!,MATCH(W469,#REF!,0))*X469,0))</f>
        <v>0</v>
      </c>
      <c r="Z469" s="7"/>
      <c r="AA469" s="74"/>
      <c r="AB469" s="101">
        <f>IF(OR(Z469="",AA469=""),0,IFERROR(INDEX(#REF!,MATCH(Z469,#REF!,0))*AA469,0))</f>
        <v>0</v>
      </c>
      <c r="AC469" s="7"/>
      <c r="AD469" s="74"/>
      <c r="AE469" s="101">
        <f>IF(OR(AC469="",AD469=""),0,IFERROR(INDEX(#REF!,MATCH(AC469,#REF!,0))*AD469,0))</f>
        <v>0</v>
      </c>
      <c r="AF469" s="7"/>
      <c r="AG469" s="74"/>
      <c r="AH469" s="101">
        <f>IF(OR(AF469="",AG469=""),0,IFERROR(INDEX(#REF!,MATCH(AF469,#REF!,0))*AG469,0))</f>
        <v>0</v>
      </c>
      <c r="AI469" s="7"/>
      <c r="AJ469" s="74"/>
      <c r="AK469" s="101">
        <f>IF(OR(AI469="",AJ469=""),0,IFERROR(INDEX(#REF!,MATCH(AI469,#REF!,0))*AJ469,0))</f>
        <v>0</v>
      </c>
      <c r="AL469" s="101">
        <f t="shared" si="69"/>
        <v>0</v>
      </c>
      <c r="AM469" s="7"/>
      <c r="AN469" s="72"/>
      <c r="AO469" s="99">
        <f>IF(OR(AM469="",AN469=""),0,IFERROR(INDEX(#REF!,MATCH(AM469,#REF!,0))*AN469,0))</f>
        <v>0</v>
      </c>
      <c r="AP469" s="7"/>
      <c r="AQ469" s="74"/>
      <c r="AR469" s="99">
        <f>IF(OR(AP469="",AQ469=""),0,IFERROR(INDEX(#REF!,MATCH(AP469,#REF!,0))*AQ469,0))</f>
        <v>0</v>
      </c>
      <c r="AS469" s="7"/>
      <c r="AT469" s="74"/>
      <c r="AU469" s="99">
        <f>IF(OR(AS469="",AT469=""),0,IFERROR(INDEX(#REF!,MATCH(AS469,#REF!,0))*AT469,0))</f>
        <v>0</v>
      </c>
      <c r="AV469" s="7"/>
      <c r="AW469" s="74"/>
      <c r="AX469" s="99">
        <f>IF(OR(AV469="",AW469=""),0,IFERROR(INDEX(#REF!,MATCH(AV469,#REF!,0))*AW469,0))</f>
        <v>0</v>
      </c>
      <c r="AY469" s="7"/>
      <c r="AZ469" s="77"/>
      <c r="BA469" s="99">
        <f>IF(OR(AY469="",AZ469=""),0,IFERROR(INDEX(#REF!,MATCH(AY469,#REF!,0))*AZ469,0))</f>
        <v>0</v>
      </c>
      <c r="BB469" s="100">
        <f t="shared" si="70"/>
        <v>0</v>
      </c>
      <c r="BC469" s="110" t="str">
        <f t="shared" si="71"/>
        <v/>
      </c>
      <c r="BD469" s="62"/>
    </row>
    <row r="470" spans="1:56" ht="19.5" customHeight="1" x14ac:dyDescent="0.45">
      <c r="A470" s="104" t="str">
        <f t="shared" si="72"/>
        <v/>
      </c>
      <c r="B470" s="5"/>
      <c r="C470" s="109"/>
      <c r="D470" s="107"/>
      <c r="E470" s="6"/>
      <c r="F470" s="85"/>
      <c r="G470" s="85"/>
      <c r="H470" s="104" t="str">
        <f t="shared" si="64"/>
        <v/>
      </c>
      <c r="I470" s="103" t="str">
        <f>IFERROR(INDEX(#REF!,MATCH(E470,#REF!,0)),"")</f>
        <v/>
      </c>
      <c r="J470" s="6"/>
      <c r="K470" s="103" t="str">
        <f t="shared" si="65"/>
        <v/>
      </c>
      <c r="L470" s="8"/>
      <c r="M470" s="102" t="str">
        <f t="shared" si="66"/>
        <v/>
      </c>
      <c r="N470" s="9"/>
      <c r="O470" s="103" t="str">
        <f t="shared" si="67"/>
        <v/>
      </c>
      <c r="P470" s="6"/>
      <c r="Q470" s="7"/>
      <c r="R470" s="10"/>
      <c r="S470" s="29" t="str">
        <f t="shared" ca="1" si="68"/>
        <v/>
      </c>
      <c r="T470" s="7"/>
      <c r="U470" s="74"/>
      <c r="V470" s="101">
        <f>IF(OR(T470="",U470=""),0,IFERROR(INDEX(#REF!,MATCH(T470,#REF!,0))*U470,0))</f>
        <v>0</v>
      </c>
      <c r="W470" s="7"/>
      <c r="X470" s="74"/>
      <c r="Y470" s="101">
        <f>IF(OR(W470="",X470=""),0,IFERROR(INDEX(#REF!,MATCH(W470,#REF!,0))*X470,0))</f>
        <v>0</v>
      </c>
      <c r="Z470" s="7"/>
      <c r="AA470" s="74"/>
      <c r="AB470" s="101">
        <f>IF(OR(Z470="",AA470=""),0,IFERROR(INDEX(#REF!,MATCH(Z470,#REF!,0))*AA470,0))</f>
        <v>0</v>
      </c>
      <c r="AC470" s="7"/>
      <c r="AD470" s="74"/>
      <c r="AE470" s="101">
        <f>IF(OR(AC470="",AD470=""),0,IFERROR(INDEX(#REF!,MATCH(AC470,#REF!,0))*AD470,0))</f>
        <v>0</v>
      </c>
      <c r="AF470" s="7"/>
      <c r="AG470" s="74"/>
      <c r="AH470" s="101">
        <f>IF(OR(AF470="",AG470=""),0,IFERROR(INDEX(#REF!,MATCH(AF470,#REF!,0))*AG470,0))</f>
        <v>0</v>
      </c>
      <c r="AI470" s="7"/>
      <c r="AJ470" s="74"/>
      <c r="AK470" s="101">
        <f>IF(OR(AI470="",AJ470=""),0,IFERROR(INDEX(#REF!,MATCH(AI470,#REF!,0))*AJ470,0))</f>
        <v>0</v>
      </c>
      <c r="AL470" s="101">
        <f t="shared" si="69"/>
        <v>0</v>
      </c>
      <c r="AM470" s="7"/>
      <c r="AN470" s="72"/>
      <c r="AO470" s="99">
        <f>IF(OR(AM470="",AN470=""),0,IFERROR(INDEX(#REF!,MATCH(AM470,#REF!,0))*AN470,0))</f>
        <v>0</v>
      </c>
      <c r="AP470" s="7"/>
      <c r="AQ470" s="74"/>
      <c r="AR470" s="99">
        <f>IF(OR(AP470="",AQ470=""),0,IFERROR(INDEX(#REF!,MATCH(AP470,#REF!,0))*AQ470,0))</f>
        <v>0</v>
      </c>
      <c r="AS470" s="7"/>
      <c r="AT470" s="74"/>
      <c r="AU470" s="99">
        <f>IF(OR(AS470="",AT470=""),0,IFERROR(INDEX(#REF!,MATCH(AS470,#REF!,0))*AT470,0))</f>
        <v>0</v>
      </c>
      <c r="AV470" s="7"/>
      <c r="AW470" s="74"/>
      <c r="AX470" s="99">
        <f>IF(OR(AV470="",AW470=""),0,IFERROR(INDEX(#REF!,MATCH(AV470,#REF!,0))*AW470,0))</f>
        <v>0</v>
      </c>
      <c r="AY470" s="7"/>
      <c r="AZ470" s="77"/>
      <c r="BA470" s="99">
        <f>IF(OR(AY470="",AZ470=""),0,IFERROR(INDEX(#REF!,MATCH(AY470,#REF!,0))*AZ470,0))</f>
        <v>0</v>
      </c>
      <c r="BB470" s="100">
        <f t="shared" si="70"/>
        <v>0</v>
      </c>
      <c r="BC470" s="110" t="str">
        <f t="shared" si="71"/>
        <v/>
      </c>
      <c r="BD470" s="62"/>
    </row>
    <row r="471" spans="1:56" ht="19.5" customHeight="1" x14ac:dyDescent="0.45">
      <c r="A471" s="104" t="str">
        <f t="shared" si="72"/>
        <v/>
      </c>
      <c r="B471" s="5"/>
      <c r="C471" s="109"/>
      <c r="D471" s="107"/>
      <c r="E471" s="6"/>
      <c r="F471" s="85"/>
      <c r="G471" s="85"/>
      <c r="H471" s="104" t="str">
        <f t="shared" si="64"/>
        <v/>
      </c>
      <c r="I471" s="103" t="str">
        <f>IFERROR(INDEX(#REF!,MATCH(E471,#REF!,0)),"")</f>
        <v/>
      </c>
      <c r="J471" s="6"/>
      <c r="K471" s="103" t="str">
        <f t="shared" si="65"/>
        <v/>
      </c>
      <c r="L471" s="8"/>
      <c r="M471" s="102" t="str">
        <f t="shared" si="66"/>
        <v/>
      </c>
      <c r="N471" s="9"/>
      <c r="O471" s="103" t="str">
        <f t="shared" si="67"/>
        <v/>
      </c>
      <c r="P471" s="6"/>
      <c r="Q471" s="7"/>
      <c r="R471" s="10"/>
      <c r="S471" s="29" t="str">
        <f t="shared" ca="1" si="68"/>
        <v/>
      </c>
      <c r="T471" s="7"/>
      <c r="U471" s="74"/>
      <c r="V471" s="101">
        <f>IF(OR(T471="",U471=""),0,IFERROR(INDEX(#REF!,MATCH(T471,#REF!,0))*U471,0))</f>
        <v>0</v>
      </c>
      <c r="W471" s="7"/>
      <c r="X471" s="74"/>
      <c r="Y471" s="101">
        <f>IF(OR(W471="",X471=""),0,IFERROR(INDEX(#REF!,MATCH(W471,#REF!,0))*X471,0))</f>
        <v>0</v>
      </c>
      <c r="Z471" s="7"/>
      <c r="AA471" s="74"/>
      <c r="AB471" s="101">
        <f>IF(OR(Z471="",AA471=""),0,IFERROR(INDEX(#REF!,MATCH(Z471,#REF!,0))*AA471,0))</f>
        <v>0</v>
      </c>
      <c r="AC471" s="7"/>
      <c r="AD471" s="74"/>
      <c r="AE471" s="101">
        <f>IF(OR(AC471="",AD471=""),0,IFERROR(INDEX(#REF!,MATCH(AC471,#REF!,0))*AD471,0))</f>
        <v>0</v>
      </c>
      <c r="AF471" s="7"/>
      <c r="AG471" s="74"/>
      <c r="AH471" s="101">
        <f>IF(OR(AF471="",AG471=""),0,IFERROR(INDEX(#REF!,MATCH(AF471,#REF!,0))*AG471,0))</f>
        <v>0</v>
      </c>
      <c r="AI471" s="7"/>
      <c r="AJ471" s="74"/>
      <c r="AK471" s="101">
        <f>IF(OR(AI471="",AJ471=""),0,IFERROR(INDEX(#REF!,MATCH(AI471,#REF!,0))*AJ471,0))</f>
        <v>0</v>
      </c>
      <c r="AL471" s="101">
        <f t="shared" si="69"/>
        <v>0</v>
      </c>
      <c r="AM471" s="7"/>
      <c r="AN471" s="72"/>
      <c r="AO471" s="99">
        <f>IF(OR(AM471="",AN471=""),0,IFERROR(INDEX(#REF!,MATCH(AM471,#REF!,0))*AN471,0))</f>
        <v>0</v>
      </c>
      <c r="AP471" s="7"/>
      <c r="AQ471" s="74"/>
      <c r="AR471" s="99">
        <f>IF(OR(AP471="",AQ471=""),0,IFERROR(INDEX(#REF!,MATCH(AP471,#REF!,0))*AQ471,0))</f>
        <v>0</v>
      </c>
      <c r="AS471" s="7"/>
      <c r="AT471" s="74"/>
      <c r="AU471" s="99">
        <f>IF(OR(AS471="",AT471=""),0,IFERROR(INDEX(#REF!,MATCH(AS471,#REF!,0))*AT471,0))</f>
        <v>0</v>
      </c>
      <c r="AV471" s="7"/>
      <c r="AW471" s="74"/>
      <c r="AX471" s="99">
        <f>IF(OR(AV471="",AW471=""),0,IFERROR(INDEX(#REF!,MATCH(AV471,#REF!,0))*AW471,0))</f>
        <v>0</v>
      </c>
      <c r="AY471" s="7"/>
      <c r="AZ471" s="77"/>
      <c r="BA471" s="99">
        <f>IF(OR(AY471="",AZ471=""),0,IFERROR(INDEX(#REF!,MATCH(AY471,#REF!,0))*AZ471,0))</f>
        <v>0</v>
      </c>
      <c r="BB471" s="100">
        <f t="shared" si="70"/>
        <v>0</v>
      </c>
      <c r="BC471" s="110" t="str">
        <f t="shared" si="71"/>
        <v/>
      </c>
      <c r="BD471" s="62"/>
    </row>
    <row r="472" spans="1:56" ht="19.5" customHeight="1" x14ac:dyDescent="0.45">
      <c r="A472" s="104" t="str">
        <f t="shared" si="72"/>
        <v/>
      </c>
      <c r="B472" s="5"/>
      <c r="C472" s="109"/>
      <c r="D472" s="107"/>
      <c r="E472" s="6"/>
      <c r="F472" s="85"/>
      <c r="G472" s="85"/>
      <c r="H472" s="104" t="str">
        <f t="shared" si="64"/>
        <v/>
      </c>
      <c r="I472" s="103" t="str">
        <f>IFERROR(INDEX(#REF!,MATCH(E472,#REF!,0)),"")</f>
        <v/>
      </c>
      <c r="J472" s="6"/>
      <c r="K472" s="103" t="str">
        <f t="shared" si="65"/>
        <v/>
      </c>
      <c r="L472" s="8"/>
      <c r="M472" s="102" t="str">
        <f t="shared" si="66"/>
        <v/>
      </c>
      <c r="N472" s="9"/>
      <c r="O472" s="103" t="str">
        <f t="shared" si="67"/>
        <v/>
      </c>
      <c r="P472" s="6"/>
      <c r="Q472" s="7"/>
      <c r="R472" s="10"/>
      <c r="S472" s="29" t="str">
        <f t="shared" ca="1" si="68"/>
        <v/>
      </c>
      <c r="T472" s="7"/>
      <c r="U472" s="74"/>
      <c r="V472" s="101">
        <f>IF(OR(T472="",U472=""),0,IFERROR(INDEX(#REF!,MATCH(T472,#REF!,0))*U472,0))</f>
        <v>0</v>
      </c>
      <c r="W472" s="7"/>
      <c r="X472" s="74"/>
      <c r="Y472" s="101">
        <f>IF(OR(W472="",X472=""),0,IFERROR(INDEX(#REF!,MATCH(W472,#REF!,0))*X472,0))</f>
        <v>0</v>
      </c>
      <c r="Z472" s="7"/>
      <c r="AA472" s="74"/>
      <c r="AB472" s="101">
        <f>IF(OR(Z472="",AA472=""),0,IFERROR(INDEX(#REF!,MATCH(Z472,#REF!,0))*AA472,0))</f>
        <v>0</v>
      </c>
      <c r="AC472" s="7"/>
      <c r="AD472" s="74"/>
      <c r="AE472" s="101">
        <f>IF(OR(AC472="",AD472=""),0,IFERROR(INDEX(#REF!,MATCH(AC472,#REF!,0))*AD472,0))</f>
        <v>0</v>
      </c>
      <c r="AF472" s="7"/>
      <c r="AG472" s="74"/>
      <c r="AH472" s="101">
        <f>IF(OR(AF472="",AG472=""),0,IFERROR(INDEX(#REF!,MATCH(AF472,#REF!,0))*AG472,0))</f>
        <v>0</v>
      </c>
      <c r="AI472" s="7"/>
      <c r="AJ472" s="74"/>
      <c r="AK472" s="101">
        <f>IF(OR(AI472="",AJ472=""),0,IFERROR(INDEX(#REF!,MATCH(AI472,#REF!,0))*AJ472,0))</f>
        <v>0</v>
      </c>
      <c r="AL472" s="101">
        <f t="shared" si="69"/>
        <v>0</v>
      </c>
      <c r="AM472" s="7"/>
      <c r="AN472" s="72"/>
      <c r="AO472" s="99">
        <f>IF(OR(AM472="",AN472=""),0,IFERROR(INDEX(#REF!,MATCH(AM472,#REF!,0))*AN472,0))</f>
        <v>0</v>
      </c>
      <c r="AP472" s="7"/>
      <c r="AQ472" s="74"/>
      <c r="AR472" s="99">
        <f>IF(OR(AP472="",AQ472=""),0,IFERROR(INDEX(#REF!,MATCH(AP472,#REF!,0))*AQ472,0))</f>
        <v>0</v>
      </c>
      <c r="AS472" s="7"/>
      <c r="AT472" s="74"/>
      <c r="AU472" s="99">
        <f>IF(OR(AS472="",AT472=""),0,IFERROR(INDEX(#REF!,MATCH(AS472,#REF!,0))*AT472,0))</f>
        <v>0</v>
      </c>
      <c r="AV472" s="7"/>
      <c r="AW472" s="74"/>
      <c r="AX472" s="99">
        <f>IF(OR(AV472="",AW472=""),0,IFERROR(INDEX(#REF!,MATCH(AV472,#REF!,0))*AW472,0))</f>
        <v>0</v>
      </c>
      <c r="AY472" s="7"/>
      <c r="AZ472" s="77"/>
      <c r="BA472" s="99">
        <f>IF(OR(AY472="",AZ472=""),0,IFERROR(INDEX(#REF!,MATCH(AY472,#REF!,0))*AZ472,0))</f>
        <v>0</v>
      </c>
      <c r="BB472" s="100">
        <f t="shared" si="70"/>
        <v>0</v>
      </c>
      <c r="BC472" s="110" t="str">
        <f t="shared" si="71"/>
        <v/>
      </c>
      <c r="BD472" s="62"/>
    </row>
    <row r="473" spans="1:56" ht="19.5" customHeight="1" x14ac:dyDescent="0.45">
      <c r="A473" s="104" t="str">
        <f t="shared" si="72"/>
        <v/>
      </c>
      <c r="B473" s="5"/>
      <c r="C473" s="109"/>
      <c r="D473" s="107"/>
      <c r="E473" s="6"/>
      <c r="F473" s="85"/>
      <c r="G473" s="85"/>
      <c r="H473" s="104" t="str">
        <f t="shared" si="64"/>
        <v/>
      </c>
      <c r="I473" s="103" t="str">
        <f>IFERROR(INDEX(#REF!,MATCH(E473,#REF!,0)),"")</f>
        <v/>
      </c>
      <c r="J473" s="6"/>
      <c r="K473" s="103" t="str">
        <f t="shared" si="65"/>
        <v/>
      </c>
      <c r="L473" s="8"/>
      <c r="M473" s="102" t="str">
        <f t="shared" si="66"/>
        <v/>
      </c>
      <c r="N473" s="9"/>
      <c r="O473" s="103" t="str">
        <f t="shared" si="67"/>
        <v/>
      </c>
      <c r="P473" s="6"/>
      <c r="Q473" s="7"/>
      <c r="R473" s="10"/>
      <c r="S473" s="29" t="str">
        <f t="shared" ca="1" si="68"/>
        <v/>
      </c>
      <c r="T473" s="7"/>
      <c r="U473" s="74"/>
      <c r="V473" s="101">
        <f>IF(OR(T473="",U473=""),0,IFERROR(INDEX(#REF!,MATCH(T473,#REF!,0))*U473,0))</f>
        <v>0</v>
      </c>
      <c r="W473" s="7"/>
      <c r="X473" s="74"/>
      <c r="Y473" s="101">
        <f>IF(OR(W473="",X473=""),0,IFERROR(INDEX(#REF!,MATCH(W473,#REF!,0))*X473,0))</f>
        <v>0</v>
      </c>
      <c r="Z473" s="7"/>
      <c r="AA473" s="74"/>
      <c r="AB473" s="101">
        <f>IF(OR(Z473="",AA473=""),0,IFERROR(INDEX(#REF!,MATCH(Z473,#REF!,0))*AA473,0))</f>
        <v>0</v>
      </c>
      <c r="AC473" s="7"/>
      <c r="AD473" s="74"/>
      <c r="AE473" s="101">
        <f>IF(OR(AC473="",AD473=""),0,IFERROR(INDEX(#REF!,MATCH(AC473,#REF!,0))*AD473,0))</f>
        <v>0</v>
      </c>
      <c r="AF473" s="7"/>
      <c r="AG473" s="74"/>
      <c r="AH473" s="101">
        <f>IF(OR(AF473="",AG473=""),0,IFERROR(INDEX(#REF!,MATCH(AF473,#REF!,0))*AG473,0))</f>
        <v>0</v>
      </c>
      <c r="AI473" s="7"/>
      <c r="AJ473" s="74"/>
      <c r="AK473" s="101">
        <f>IF(OR(AI473="",AJ473=""),0,IFERROR(INDEX(#REF!,MATCH(AI473,#REF!,0))*AJ473,0))</f>
        <v>0</v>
      </c>
      <c r="AL473" s="101">
        <f t="shared" si="69"/>
        <v>0</v>
      </c>
      <c r="AM473" s="7"/>
      <c r="AN473" s="72"/>
      <c r="AO473" s="99">
        <f>IF(OR(AM473="",AN473=""),0,IFERROR(INDEX(#REF!,MATCH(AM473,#REF!,0))*AN473,0))</f>
        <v>0</v>
      </c>
      <c r="AP473" s="7"/>
      <c r="AQ473" s="74"/>
      <c r="AR473" s="99">
        <f>IF(OR(AP473="",AQ473=""),0,IFERROR(INDEX(#REF!,MATCH(AP473,#REF!,0))*AQ473,0))</f>
        <v>0</v>
      </c>
      <c r="AS473" s="7"/>
      <c r="AT473" s="74"/>
      <c r="AU473" s="99">
        <f>IF(OR(AS473="",AT473=""),0,IFERROR(INDEX(#REF!,MATCH(AS473,#REF!,0))*AT473,0))</f>
        <v>0</v>
      </c>
      <c r="AV473" s="7"/>
      <c r="AW473" s="74"/>
      <c r="AX473" s="99">
        <f>IF(OR(AV473="",AW473=""),0,IFERROR(INDEX(#REF!,MATCH(AV473,#REF!,0))*AW473,0))</f>
        <v>0</v>
      </c>
      <c r="AY473" s="7"/>
      <c r="AZ473" s="77"/>
      <c r="BA473" s="99">
        <f>IF(OR(AY473="",AZ473=""),0,IFERROR(INDEX(#REF!,MATCH(AY473,#REF!,0))*AZ473,0))</f>
        <v>0</v>
      </c>
      <c r="BB473" s="100">
        <f t="shared" si="70"/>
        <v>0</v>
      </c>
      <c r="BC473" s="110" t="str">
        <f t="shared" si="71"/>
        <v/>
      </c>
      <c r="BD473" s="62"/>
    </row>
    <row r="474" spans="1:56" ht="19.5" customHeight="1" x14ac:dyDescent="0.45">
      <c r="A474" s="104" t="str">
        <f t="shared" si="72"/>
        <v/>
      </c>
      <c r="B474" s="5"/>
      <c r="C474" s="109"/>
      <c r="D474" s="107"/>
      <c r="E474" s="6"/>
      <c r="F474" s="85"/>
      <c r="G474" s="85"/>
      <c r="H474" s="104" t="str">
        <f t="shared" si="64"/>
        <v/>
      </c>
      <c r="I474" s="103" t="str">
        <f>IFERROR(INDEX(#REF!,MATCH(E474,#REF!,0)),"")</f>
        <v/>
      </c>
      <c r="J474" s="6"/>
      <c r="K474" s="103" t="str">
        <f t="shared" si="65"/>
        <v/>
      </c>
      <c r="L474" s="8"/>
      <c r="M474" s="102" t="str">
        <f t="shared" si="66"/>
        <v/>
      </c>
      <c r="N474" s="9"/>
      <c r="O474" s="103" t="str">
        <f t="shared" si="67"/>
        <v/>
      </c>
      <c r="P474" s="6"/>
      <c r="Q474" s="7"/>
      <c r="R474" s="10"/>
      <c r="S474" s="29" t="str">
        <f t="shared" ca="1" si="68"/>
        <v/>
      </c>
      <c r="T474" s="7"/>
      <c r="U474" s="74"/>
      <c r="V474" s="101">
        <f>IF(OR(T474="",U474=""),0,IFERROR(INDEX(#REF!,MATCH(T474,#REF!,0))*U474,0))</f>
        <v>0</v>
      </c>
      <c r="W474" s="7"/>
      <c r="X474" s="74"/>
      <c r="Y474" s="101">
        <f>IF(OR(W474="",X474=""),0,IFERROR(INDEX(#REF!,MATCH(W474,#REF!,0))*X474,0))</f>
        <v>0</v>
      </c>
      <c r="Z474" s="7"/>
      <c r="AA474" s="74"/>
      <c r="AB474" s="101">
        <f>IF(OR(Z474="",AA474=""),0,IFERROR(INDEX(#REF!,MATCH(Z474,#REF!,0))*AA474,0))</f>
        <v>0</v>
      </c>
      <c r="AC474" s="7"/>
      <c r="AD474" s="74"/>
      <c r="AE474" s="101">
        <f>IF(OR(AC474="",AD474=""),0,IFERROR(INDEX(#REF!,MATCH(AC474,#REF!,0))*AD474,0))</f>
        <v>0</v>
      </c>
      <c r="AF474" s="7"/>
      <c r="AG474" s="74"/>
      <c r="AH474" s="101">
        <f>IF(OR(AF474="",AG474=""),0,IFERROR(INDEX(#REF!,MATCH(AF474,#REF!,0))*AG474,0))</f>
        <v>0</v>
      </c>
      <c r="AI474" s="7"/>
      <c r="AJ474" s="74"/>
      <c r="AK474" s="101">
        <f>IF(OR(AI474="",AJ474=""),0,IFERROR(INDEX(#REF!,MATCH(AI474,#REF!,0))*AJ474,0))</f>
        <v>0</v>
      </c>
      <c r="AL474" s="101">
        <f t="shared" si="69"/>
        <v>0</v>
      </c>
      <c r="AM474" s="7"/>
      <c r="AN474" s="72"/>
      <c r="AO474" s="99">
        <f>IF(OR(AM474="",AN474=""),0,IFERROR(INDEX(#REF!,MATCH(AM474,#REF!,0))*AN474,0))</f>
        <v>0</v>
      </c>
      <c r="AP474" s="7"/>
      <c r="AQ474" s="74"/>
      <c r="AR474" s="99">
        <f>IF(OR(AP474="",AQ474=""),0,IFERROR(INDEX(#REF!,MATCH(AP474,#REF!,0))*AQ474,0))</f>
        <v>0</v>
      </c>
      <c r="AS474" s="7"/>
      <c r="AT474" s="74"/>
      <c r="AU474" s="99">
        <f>IF(OR(AS474="",AT474=""),0,IFERROR(INDEX(#REF!,MATCH(AS474,#REF!,0))*AT474,0))</f>
        <v>0</v>
      </c>
      <c r="AV474" s="7"/>
      <c r="AW474" s="74"/>
      <c r="AX474" s="99">
        <f>IF(OR(AV474="",AW474=""),0,IFERROR(INDEX(#REF!,MATCH(AV474,#REF!,0))*AW474,0))</f>
        <v>0</v>
      </c>
      <c r="AY474" s="7"/>
      <c r="AZ474" s="77"/>
      <c r="BA474" s="99">
        <f>IF(OR(AY474="",AZ474=""),0,IFERROR(INDEX(#REF!,MATCH(AY474,#REF!,0))*AZ474,0))</f>
        <v>0</v>
      </c>
      <c r="BB474" s="100">
        <f t="shared" si="70"/>
        <v>0</v>
      </c>
      <c r="BC474" s="110" t="str">
        <f t="shared" si="71"/>
        <v/>
      </c>
      <c r="BD474" s="62"/>
    </row>
    <row r="475" spans="1:56" ht="19.5" customHeight="1" x14ac:dyDescent="0.45">
      <c r="A475" s="104" t="str">
        <f t="shared" si="72"/>
        <v/>
      </c>
      <c r="B475" s="5"/>
      <c r="C475" s="109"/>
      <c r="D475" s="107"/>
      <c r="E475" s="6"/>
      <c r="F475" s="85"/>
      <c r="G475" s="85"/>
      <c r="H475" s="104" t="str">
        <f t="shared" si="64"/>
        <v/>
      </c>
      <c r="I475" s="103" t="str">
        <f>IFERROR(INDEX(#REF!,MATCH(E475,#REF!,0)),"")</f>
        <v/>
      </c>
      <c r="J475" s="6"/>
      <c r="K475" s="103" t="str">
        <f t="shared" si="65"/>
        <v/>
      </c>
      <c r="L475" s="8"/>
      <c r="M475" s="102" t="str">
        <f t="shared" si="66"/>
        <v/>
      </c>
      <c r="N475" s="9"/>
      <c r="O475" s="103" t="str">
        <f t="shared" si="67"/>
        <v/>
      </c>
      <c r="P475" s="6"/>
      <c r="Q475" s="7"/>
      <c r="R475" s="10"/>
      <c r="S475" s="29" t="str">
        <f t="shared" ca="1" si="68"/>
        <v/>
      </c>
      <c r="T475" s="7"/>
      <c r="U475" s="74"/>
      <c r="V475" s="101">
        <f>IF(OR(T475="",U475=""),0,IFERROR(INDEX(#REF!,MATCH(T475,#REF!,0))*U475,0))</f>
        <v>0</v>
      </c>
      <c r="W475" s="7"/>
      <c r="X475" s="74"/>
      <c r="Y475" s="101">
        <f>IF(OR(W475="",X475=""),0,IFERROR(INDEX(#REF!,MATCH(W475,#REF!,0))*X475,0))</f>
        <v>0</v>
      </c>
      <c r="Z475" s="7"/>
      <c r="AA475" s="74"/>
      <c r="AB475" s="101">
        <f>IF(OR(Z475="",AA475=""),0,IFERROR(INDEX(#REF!,MATCH(Z475,#REF!,0))*AA475,0))</f>
        <v>0</v>
      </c>
      <c r="AC475" s="7"/>
      <c r="AD475" s="74"/>
      <c r="AE475" s="101">
        <f>IF(OR(AC475="",AD475=""),0,IFERROR(INDEX(#REF!,MATCH(AC475,#REF!,0))*AD475,0))</f>
        <v>0</v>
      </c>
      <c r="AF475" s="7"/>
      <c r="AG475" s="74"/>
      <c r="AH475" s="101">
        <f>IF(OR(AF475="",AG475=""),0,IFERROR(INDEX(#REF!,MATCH(AF475,#REF!,0))*AG475,0))</f>
        <v>0</v>
      </c>
      <c r="AI475" s="7"/>
      <c r="AJ475" s="74"/>
      <c r="AK475" s="101">
        <f>IF(OR(AI475="",AJ475=""),0,IFERROR(INDEX(#REF!,MATCH(AI475,#REF!,0))*AJ475,0))</f>
        <v>0</v>
      </c>
      <c r="AL475" s="101">
        <f t="shared" si="69"/>
        <v>0</v>
      </c>
      <c r="AM475" s="7"/>
      <c r="AN475" s="72"/>
      <c r="AO475" s="99">
        <f>IF(OR(AM475="",AN475=""),0,IFERROR(INDEX(#REF!,MATCH(AM475,#REF!,0))*AN475,0))</f>
        <v>0</v>
      </c>
      <c r="AP475" s="7"/>
      <c r="AQ475" s="74"/>
      <c r="AR475" s="99">
        <f>IF(OR(AP475="",AQ475=""),0,IFERROR(INDEX(#REF!,MATCH(AP475,#REF!,0))*AQ475,0))</f>
        <v>0</v>
      </c>
      <c r="AS475" s="7"/>
      <c r="AT475" s="74"/>
      <c r="AU475" s="99">
        <f>IF(OR(AS475="",AT475=""),0,IFERROR(INDEX(#REF!,MATCH(AS475,#REF!,0))*AT475,0))</f>
        <v>0</v>
      </c>
      <c r="AV475" s="7"/>
      <c r="AW475" s="74"/>
      <c r="AX475" s="99">
        <f>IF(OR(AV475="",AW475=""),0,IFERROR(INDEX(#REF!,MATCH(AV475,#REF!,0))*AW475,0))</f>
        <v>0</v>
      </c>
      <c r="AY475" s="7"/>
      <c r="AZ475" s="77"/>
      <c r="BA475" s="99">
        <f>IF(OR(AY475="",AZ475=""),0,IFERROR(INDEX(#REF!,MATCH(AY475,#REF!,0))*AZ475,0))</f>
        <v>0</v>
      </c>
      <c r="BB475" s="100">
        <f t="shared" si="70"/>
        <v>0</v>
      </c>
      <c r="BC475" s="110" t="str">
        <f t="shared" si="71"/>
        <v/>
      </c>
      <c r="BD475" s="62"/>
    </row>
    <row r="476" spans="1:56" ht="19.5" customHeight="1" x14ac:dyDescent="0.45">
      <c r="A476" s="104" t="str">
        <f t="shared" si="72"/>
        <v/>
      </c>
      <c r="B476" s="5"/>
      <c r="C476" s="109"/>
      <c r="D476" s="107"/>
      <c r="E476" s="6"/>
      <c r="F476" s="85"/>
      <c r="G476" s="85"/>
      <c r="H476" s="104" t="str">
        <f t="shared" si="64"/>
        <v/>
      </c>
      <c r="I476" s="103" t="str">
        <f>IFERROR(INDEX(#REF!,MATCH(E476,#REF!,0)),"")</f>
        <v/>
      </c>
      <c r="J476" s="6"/>
      <c r="K476" s="103" t="str">
        <f t="shared" si="65"/>
        <v/>
      </c>
      <c r="L476" s="8"/>
      <c r="M476" s="102" t="str">
        <f t="shared" si="66"/>
        <v/>
      </c>
      <c r="N476" s="9"/>
      <c r="O476" s="103" t="str">
        <f t="shared" si="67"/>
        <v/>
      </c>
      <c r="P476" s="6"/>
      <c r="Q476" s="7"/>
      <c r="R476" s="10"/>
      <c r="S476" s="29" t="str">
        <f t="shared" ca="1" si="68"/>
        <v/>
      </c>
      <c r="T476" s="7"/>
      <c r="U476" s="74"/>
      <c r="V476" s="101">
        <f>IF(OR(T476="",U476=""),0,IFERROR(INDEX(#REF!,MATCH(T476,#REF!,0))*U476,0))</f>
        <v>0</v>
      </c>
      <c r="W476" s="7"/>
      <c r="X476" s="74"/>
      <c r="Y476" s="101">
        <f>IF(OR(W476="",X476=""),0,IFERROR(INDEX(#REF!,MATCH(W476,#REF!,0))*X476,0))</f>
        <v>0</v>
      </c>
      <c r="Z476" s="7"/>
      <c r="AA476" s="74"/>
      <c r="AB476" s="101">
        <f>IF(OR(Z476="",AA476=""),0,IFERROR(INDEX(#REF!,MATCH(Z476,#REF!,0))*AA476,0))</f>
        <v>0</v>
      </c>
      <c r="AC476" s="7"/>
      <c r="AD476" s="74"/>
      <c r="AE476" s="101">
        <f>IF(OR(AC476="",AD476=""),0,IFERROR(INDEX(#REF!,MATCH(AC476,#REF!,0))*AD476,0))</f>
        <v>0</v>
      </c>
      <c r="AF476" s="7"/>
      <c r="AG476" s="74"/>
      <c r="AH476" s="101">
        <f>IF(OR(AF476="",AG476=""),0,IFERROR(INDEX(#REF!,MATCH(AF476,#REF!,0))*AG476,0))</f>
        <v>0</v>
      </c>
      <c r="AI476" s="7"/>
      <c r="AJ476" s="74"/>
      <c r="AK476" s="101">
        <f>IF(OR(AI476="",AJ476=""),0,IFERROR(INDEX(#REF!,MATCH(AI476,#REF!,0))*AJ476,0))</f>
        <v>0</v>
      </c>
      <c r="AL476" s="101">
        <f t="shared" si="69"/>
        <v>0</v>
      </c>
      <c r="AM476" s="7"/>
      <c r="AN476" s="72"/>
      <c r="AO476" s="99">
        <f>IF(OR(AM476="",AN476=""),0,IFERROR(INDEX(#REF!,MATCH(AM476,#REF!,0))*AN476,0))</f>
        <v>0</v>
      </c>
      <c r="AP476" s="7"/>
      <c r="AQ476" s="74"/>
      <c r="AR476" s="99">
        <f>IF(OR(AP476="",AQ476=""),0,IFERROR(INDEX(#REF!,MATCH(AP476,#REF!,0))*AQ476,0))</f>
        <v>0</v>
      </c>
      <c r="AS476" s="7"/>
      <c r="AT476" s="74"/>
      <c r="AU476" s="99">
        <f>IF(OR(AS476="",AT476=""),0,IFERROR(INDEX(#REF!,MATCH(AS476,#REF!,0))*AT476,0))</f>
        <v>0</v>
      </c>
      <c r="AV476" s="7"/>
      <c r="AW476" s="74"/>
      <c r="AX476" s="99">
        <f>IF(OR(AV476="",AW476=""),0,IFERROR(INDEX(#REF!,MATCH(AV476,#REF!,0))*AW476,0))</f>
        <v>0</v>
      </c>
      <c r="AY476" s="7"/>
      <c r="AZ476" s="77"/>
      <c r="BA476" s="99">
        <f>IF(OR(AY476="",AZ476=""),0,IFERROR(INDEX(#REF!,MATCH(AY476,#REF!,0))*AZ476,0))</f>
        <v>0</v>
      </c>
      <c r="BB476" s="100">
        <f t="shared" si="70"/>
        <v>0</v>
      </c>
      <c r="BC476" s="110" t="str">
        <f t="shared" si="71"/>
        <v/>
      </c>
      <c r="BD476" s="62"/>
    </row>
    <row r="477" spans="1:56" ht="19.5" customHeight="1" x14ac:dyDescent="0.45">
      <c r="A477" s="104" t="str">
        <f t="shared" si="72"/>
        <v/>
      </c>
      <c r="B477" s="5"/>
      <c r="C477" s="109"/>
      <c r="D477" s="107"/>
      <c r="E477" s="6"/>
      <c r="F477" s="85"/>
      <c r="G477" s="85"/>
      <c r="H477" s="104" t="str">
        <f t="shared" si="64"/>
        <v/>
      </c>
      <c r="I477" s="103" t="str">
        <f>IFERROR(INDEX(#REF!,MATCH(E477,#REF!,0)),"")</f>
        <v/>
      </c>
      <c r="J477" s="6"/>
      <c r="K477" s="103" t="str">
        <f t="shared" si="65"/>
        <v/>
      </c>
      <c r="L477" s="8"/>
      <c r="M477" s="102" t="str">
        <f t="shared" si="66"/>
        <v/>
      </c>
      <c r="N477" s="9"/>
      <c r="O477" s="103" t="str">
        <f t="shared" si="67"/>
        <v/>
      </c>
      <c r="P477" s="6"/>
      <c r="Q477" s="7"/>
      <c r="R477" s="10"/>
      <c r="S477" s="29" t="str">
        <f t="shared" ca="1" si="68"/>
        <v/>
      </c>
      <c r="T477" s="7"/>
      <c r="U477" s="74"/>
      <c r="V477" s="101">
        <f>IF(OR(T477="",U477=""),0,IFERROR(INDEX(#REF!,MATCH(T477,#REF!,0))*U477,0))</f>
        <v>0</v>
      </c>
      <c r="W477" s="7"/>
      <c r="X477" s="74"/>
      <c r="Y477" s="101">
        <f>IF(OR(W477="",X477=""),0,IFERROR(INDEX(#REF!,MATCH(W477,#REF!,0))*X477,0))</f>
        <v>0</v>
      </c>
      <c r="Z477" s="7"/>
      <c r="AA477" s="74"/>
      <c r="AB477" s="101">
        <f>IF(OR(Z477="",AA477=""),0,IFERROR(INDEX(#REF!,MATCH(Z477,#REF!,0))*AA477,0))</f>
        <v>0</v>
      </c>
      <c r="AC477" s="7"/>
      <c r="AD477" s="74"/>
      <c r="AE477" s="101">
        <f>IF(OR(AC477="",AD477=""),0,IFERROR(INDEX(#REF!,MATCH(AC477,#REF!,0))*AD477,0))</f>
        <v>0</v>
      </c>
      <c r="AF477" s="7"/>
      <c r="AG477" s="74"/>
      <c r="AH477" s="101">
        <f>IF(OR(AF477="",AG477=""),0,IFERROR(INDEX(#REF!,MATCH(AF477,#REF!,0))*AG477,0))</f>
        <v>0</v>
      </c>
      <c r="AI477" s="7"/>
      <c r="AJ477" s="74"/>
      <c r="AK477" s="101">
        <f>IF(OR(AI477="",AJ477=""),0,IFERROR(INDEX(#REF!,MATCH(AI477,#REF!,0))*AJ477,0))</f>
        <v>0</v>
      </c>
      <c r="AL477" s="101">
        <f t="shared" si="69"/>
        <v>0</v>
      </c>
      <c r="AM477" s="7"/>
      <c r="AN477" s="72"/>
      <c r="AO477" s="99">
        <f>IF(OR(AM477="",AN477=""),0,IFERROR(INDEX(#REF!,MATCH(AM477,#REF!,0))*AN477,0))</f>
        <v>0</v>
      </c>
      <c r="AP477" s="7"/>
      <c r="AQ477" s="74"/>
      <c r="AR477" s="99">
        <f>IF(OR(AP477="",AQ477=""),0,IFERROR(INDEX(#REF!,MATCH(AP477,#REF!,0))*AQ477,0))</f>
        <v>0</v>
      </c>
      <c r="AS477" s="7"/>
      <c r="AT477" s="74"/>
      <c r="AU477" s="99">
        <f>IF(OR(AS477="",AT477=""),0,IFERROR(INDEX(#REF!,MATCH(AS477,#REF!,0))*AT477,0))</f>
        <v>0</v>
      </c>
      <c r="AV477" s="7"/>
      <c r="AW477" s="74"/>
      <c r="AX477" s="99">
        <f>IF(OR(AV477="",AW477=""),0,IFERROR(INDEX(#REF!,MATCH(AV477,#REF!,0))*AW477,0))</f>
        <v>0</v>
      </c>
      <c r="AY477" s="7"/>
      <c r="AZ477" s="77"/>
      <c r="BA477" s="99">
        <f>IF(OR(AY477="",AZ477=""),0,IFERROR(INDEX(#REF!,MATCH(AY477,#REF!,0))*AZ477,0))</f>
        <v>0</v>
      </c>
      <c r="BB477" s="100">
        <f t="shared" si="70"/>
        <v>0</v>
      </c>
      <c r="BC477" s="110" t="str">
        <f t="shared" si="71"/>
        <v/>
      </c>
      <c r="BD477" s="62"/>
    </row>
    <row r="478" spans="1:56" ht="19.5" customHeight="1" x14ac:dyDescent="0.45">
      <c r="A478" s="104" t="str">
        <f t="shared" si="72"/>
        <v/>
      </c>
      <c r="B478" s="5"/>
      <c r="C478" s="109"/>
      <c r="D478" s="107"/>
      <c r="E478" s="6"/>
      <c r="F478" s="85"/>
      <c r="G478" s="85"/>
      <c r="H478" s="104" t="str">
        <f t="shared" si="64"/>
        <v/>
      </c>
      <c r="I478" s="103" t="str">
        <f>IFERROR(INDEX(#REF!,MATCH(E478,#REF!,0)),"")</f>
        <v/>
      </c>
      <c r="J478" s="6"/>
      <c r="K478" s="103" t="str">
        <f t="shared" si="65"/>
        <v/>
      </c>
      <c r="L478" s="8"/>
      <c r="M478" s="102" t="str">
        <f t="shared" si="66"/>
        <v/>
      </c>
      <c r="N478" s="9"/>
      <c r="O478" s="103" t="str">
        <f t="shared" si="67"/>
        <v/>
      </c>
      <c r="P478" s="6"/>
      <c r="Q478" s="7"/>
      <c r="R478" s="10"/>
      <c r="S478" s="29" t="str">
        <f t="shared" ca="1" si="68"/>
        <v/>
      </c>
      <c r="T478" s="7"/>
      <c r="U478" s="74"/>
      <c r="V478" s="101">
        <f>IF(OR(T478="",U478=""),0,IFERROR(INDEX(#REF!,MATCH(T478,#REF!,0))*U478,0))</f>
        <v>0</v>
      </c>
      <c r="W478" s="7"/>
      <c r="X478" s="74"/>
      <c r="Y478" s="101">
        <f>IF(OR(W478="",X478=""),0,IFERROR(INDEX(#REF!,MATCH(W478,#REF!,0))*X478,0))</f>
        <v>0</v>
      </c>
      <c r="Z478" s="7"/>
      <c r="AA478" s="74"/>
      <c r="AB478" s="101">
        <f>IF(OR(Z478="",AA478=""),0,IFERROR(INDEX(#REF!,MATCH(Z478,#REF!,0))*AA478,0))</f>
        <v>0</v>
      </c>
      <c r="AC478" s="7"/>
      <c r="AD478" s="74"/>
      <c r="AE478" s="101">
        <f>IF(OR(AC478="",AD478=""),0,IFERROR(INDEX(#REF!,MATCH(AC478,#REF!,0))*AD478,0))</f>
        <v>0</v>
      </c>
      <c r="AF478" s="7"/>
      <c r="AG478" s="74"/>
      <c r="AH478" s="101">
        <f>IF(OR(AF478="",AG478=""),0,IFERROR(INDEX(#REF!,MATCH(AF478,#REF!,0))*AG478,0))</f>
        <v>0</v>
      </c>
      <c r="AI478" s="7"/>
      <c r="AJ478" s="74"/>
      <c r="AK478" s="101">
        <f>IF(OR(AI478="",AJ478=""),0,IFERROR(INDEX(#REF!,MATCH(AI478,#REF!,0))*AJ478,0))</f>
        <v>0</v>
      </c>
      <c r="AL478" s="101">
        <f t="shared" si="69"/>
        <v>0</v>
      </c>
      <c r="AM478" s="7"/>
      <c r="AN478" s="72"/>
      <c r="AO478" s="99">
        <f>IF(OR(AM478="",AN478=""),0,IFERROR(INDEX(#REF!,MATCH(AM478,#REF!,0))*AN478,0))</f>
        <v>0</v>
      </c>
      <c r="AP478" s="7"/>
      <c r="AQ478" s="74"/>
      <c r="AR478" s="99">
        <f>IF(OR(AP478="",AQ478=""),0,IFERROR(INDEX(#REF!,MATCH(AP478,#REF!,0))*AQ478,0))</f>
        <v>0</v>
      </c>
      <c r="AS478" s="7"/>
      <c r="AT478" s="74"/>
      <c r="AU478" s="99">
        <f>IF(OR(AS478="",AT478=""),0,IFERROR(INDEX(#REF!,MATCH(AS478,#REF!,0))*AT478,0))</f>
        <v>0</v>
      </c>
      <c r="AV478" s="7"/>
      <c r="AW478" s="74"/>
      <c r="AX478" s="99">
        <f>IF(OR(AV478="",AW478=""),0,IFERROR(INDEX(#REF!,MATCH(AV478,#REF!,0))*AW478,0))</f>
        <v>0</v>
      </c>
      <c r="AY478" s="7"/>
      <c r="AZ478" s="77"/>
      <c r="BA478" s="99">
        <f>IF(OR(AY478="",AZ478=""),0,IFERROR(INDEX(#REF!,MATCH(AY478,#REF!,0))*AZ478,0))</f>
        <v>0</v>
      </c>
      <c r="BB478" s="100">
        <f t="shared" si="70"/>
        <v>0</v>
      </c>
      <c r="BC478" s="110" t="str">
        <f t="shared" si="71"/>
        <v/>
      </c>
      <c r="BD478" s="62"/>
    </row>
    <row r="479" spans="1:56" ht="19.5" customHeight="1" x14ac:dyDescent="0.45">
      <c r="A479" s="104" t="str">
        <f t="shared" si="72"/>
        <v/>
      </c>
      <c r="B479" s="5"/>
      <c r="C479" s="109"/>
      <c r="D479" s="107"/>
      <c r="E479" s="6"/>
      <c r="F479" s="85"/>
      <c r="G479" s="85"/>
      <c r="H479" s="104" t="str">
        <f t="shared" si="64"/>
        <v/>
      </c>
      <c r="I479" s="103" t="str">
        <f>IFERROR(INDEX(#REF!,MATCH(E479,#REF!,0)),"")</f>
        <v/>
      </c>
      <c r="J479" s="6"/>
      <c r="K479" s="103" t="str">
        <f t="shared" si="65"/>
        <v/>
      </c>
      <c r="L479" s="8"/>
      <c r="M479" s="102" t="str">
        <f t="shared" si="66"/>
        <v/>
      </c>
      <c r="N479" s="9"/>
      <c r="O479" s="103" t="str">
        <f t="shared" si="67"/>
        <v/>
      </c>
      <c r="P479" s="6"/>
      <c r="Q479" s="7"/>
      <c r="R479" s="10"/>
      <c r="S479" s="29" t="str">
        <f t="shared" ca="1" si="68"/>
        <v/>
      </c>
      <c r="T479" s="7"/>
      <c r="U479" s="74"/>
      <c r="V479" s="101">
        <f>IF(OR(T479="",U479=""),0,IFERROR(INDEX(#REF!,MATCH(T479,#REF!,0))*U479,0))</f>
        <v>0</v>
      </c>
      <c r="W479" s="7"/>
      <c r="X479" s="74"/>
      <c r="Y479" s="101">
        <f>IF(OR(W479="",X479=""),0,IFERROR(INDEX(#REF!,MATCH(W479,#REF!,0))*X479,0))</f>
        <v>0</v>
      </c>
      <c r="Z479" s="7"/>
      <c r="AA479" s="74"/>
      <c r="AB479" s="101">
        <f>IF(OR(Z479="",AA479=""),0,IFERROR(INDEX(#REF!,MATCH(Z479,#REF!,0))*AA479,0))</f>
        <v>0</v>
      </c>
      <c r="AC479" s="7"/>
      <c r="AD479" s="74"/>
      <c r="AE479" s="101">
        <f>IF(OR(AC479="",AD479=""),0,IFERROR(INDEX(#REF!,MATCH(AC479,#REF!,0))*AD479,0))</f>
        <v>0</v>
      </c>
      <c r="AF479" s="7"/>
      <c r="AG479" s="74"/>
      <c r="AH479" s="101">
        <f>IF(OR(AF479="",AG479=""),0,IFERROR(INDEX(#REF!,MATCH(AF479,#REF!,0))*AG479,0))</f>
        <v>0</v>
      </c>
      <c r="AI479" s="7"/>
      <c r="AJ479" s="74"/>
      <c r="AK479" s="101">
        <f>IF(OR(AI479="",AJ479=""),0,IFERROR(INDEX(#REF!,MATCH(AI479,#REF!,0))*AJ479,0))</f>
        <v>0</v>
      </c>
      <c r="AL479" s="101">
        <f t="shared" si="69"/>
        <v>0</v>
      </c>
      <c r="AM479" s="7"/>
      <c r="AN479" s="72"/>
      <c r="AO479" s="99">
        <f>IF(OR(AM479="",AN479=""),0,IFERROR(INDEX(#REF!,MATCH(AM479,#REF!,0))*AN479,0))</f>
        <v>0</v>
      </c>
      <c r="AP479" s="7"/>
      <c r="AQ479" s="74"/>
      <c r="AR479" s="99">
        <f>IF(OR(AP479="",AQ479=""),0,IFERROR(INDEX(#REF!,MATCH(AP479,#REF!,0))*AQ479,0))</f>
        <v>0</v>
      </c>
      <c r="AS479" s="7"/>
      <c r="AT479" s="74"/>
      <c r="AU479" s="99">
        <f>IF(OR(AS479="",AT479=""),0,IFERROR(INDEX(#REF!,MATCH(AS479,#REF!,0))*AT479,0))</f>
        <v>0</v>
      </c>
      <c r="AV479" s="7"/>
      <c r="AW479" s="74"/>
      <c r="AX479" s="99">
        <f>IF(OR(AV479="",AW479=""),0,IFERROR(INDEX(#REF!,MATCH(AV479,#REF!,0))*AW479,0))</f>
        <v>0</v>
      </c>
      <c r="AY479" s="7"/>
      <c r="AZ479" s="77"/>
      <c r="BA479" s="99">
        <f>IF(OR(AY479="",AZ479=""),0,IFERROR(INDEX(#REF!,MATCH(AY479,#REF!,0))*AZ479,0))</f>
        <v>0</v>
      </c>
      <c r="BB479" s="100">
        <f t="shared" si="70"/>
        <v>0</v>
      </c>
      <c r="BC479" s="110" t="str">
        <f t="shared" si="71"/>
        <v/>
      </c>
      <c r="BD479" s="62"/>
    </row>
    <row r="480" spans="1:56" ht="19.5" customHeight="1" x14ac:dyDescent="0.45">
      <c r="A480" s="104" t="str">
        <f t="shared" si="72"/>
        <v/>
      </c>
      <c r="B480" s="5"/>
      <c r="C480" s="109"/>
      <c r="D480" s="107"/>
      <c r="E480" s="6"/>
      <c r="F480" s="85"/>
      <c r="G480" s="85"/>
      <c r="H480" s="104" t="str">
        <f t="shared" si="64"/>
        <v/>
      </c>
      <c r="I480" s="103" t="str">
        <f>IFERROR(INDEX(#REF!,MATCH(E480,#REF!,0)),"")</f>
        <v/>
      </c>
      <c r="J480" s="6"/>
      <c r="K480" s="103" t="str">
        <f t="shared" si="65"/>
        <v/>
      </c>
      <c r="L480" s="8"/>
      <c r="M480" s="102" t="str">
        <f t="shared" si="66"/>
        <v/>
      </c>
      <c r="N480" s="9"/>
      <c r="O480" s="103" t="str">
        <f t="shared" si="67"/>
        <v/>
      </c>
      <c r="P480" s="6"/>
      <c r="Q480" s="7"/>
      <c r="R480" s="10"/>
      <c r="S480" s="29" t="str">
        <f t="shared" ca="1" si="68"/>
        <v/>
      </c>
      <c r="T480" s="7"/>
      <c r="U480" s="74"/>
      <c r="V480" s="101">
        <f>IF(OR(T480="",U480=""),0,IFERROR(INDEX(#REF!,MATCH(T480,#REF!,0))*U480,0))</f>
        <v>0</v>
      </c>
      <c r="W480" s="7"/>
      <c r="X480" s="74"/>
      <c r="Y480" s="101">
        <f>IF(OR(W480="",X480=""),0,IFERROR(INDEX(#REF!,MATCH(W480,#REF!,0))*X480,0))</f>
        <v>0</v>
      </c>
      <c r="Z480" s="7"/>
      <c r="AA480" s="74"/>
      <c r="AB480" s="101">
        <f>IF(OR(Z480="",AA480=""),0,IFERROR(INDEX(#REF!,MATCH(Z480,#REF!,0))*AA480,0))</f>
        <v>0</v>
      </c>
      <c r="AC480" s="7"/>
      <c r="AD480" s="74"/>
      <c r="AE480" s="101">
        <f>IF(OR(AC480="",AD480=""),0,IFERROR(INDEX(#REF!,MATCH(AC480,#REF!,0))*AD480,0))</f>
        <v>0</v>
      </c>
      <c r="AF480" s="7"/>
      <c r="AG480" s="74"/>
      <c r="AH480" s="101">
        <f>IF(OR(AF480="",AG480=""),0,IFERROR(INDEX(#REF!,MATCH(AF480,#REF!,0))*AG480,0))</f>
        <v>0</v>
      </c>
      <c r="AI480" s="7"/>
      <c r="AJ480" s="74"/>
      <c r="AK480" s="101">
        <f>IF(OR(AI480="",AJ480=""),0,IFERROR(INDEX(#REF!,MATCH(AI480,#REF!,0))*AJ480,0))</f>
        <v>0</v>
      </c>
      <c r="AL480" s="101">
        <f t="shared" si="69"/>
        <v>0</v>
      </c>
      <c r="AM480" s="7"/>
      <c r="AN480" s="72"/>
      <c r="AO480" s="99">
        <f>IF(OR(AM480="",AN480=""),0,IFERROR(INDEX(#REF!,MATCH(AM480,#REF!,0))*AN480,0))</f>
        <v>0</v>
      </c>
      <c r="AP480" s="7"/>
      <c r="AQ480" s="74"/>
      <c r="AR480" s="99">
        <f>IF(OR(AP480="",AQ480=""),0,IFERROR(INDEX(#REF!,MATCH(AP480,#REF!,0))*AQ480,0))</f>
        <v>0</v>
      </c>
      <c r="AS480" s="7"/>
      <c r="AT480" s="74"/>
      <c r="AU480" s="99">
        <f>IF(OR(AS480="",AT480=""),0,IFERROR(INDEX(#REF!,MATCH(AS480,#REF!,0))*AT480,0))</f>
        <v>0</v>
      </c>
      <c r="AV480" s="7"/>
      <c r="AW480" s="74"/>
      <c r="AX480" s="99">
        <f>IF(OR(AV480="",AW480=""),0,IFERROR(INDEX(#REF!,MATCH(AV480,#REF!,0))*AW480,0))</f>
        <v>0</v>
      </c>
      <c r="AY480" s="7"/>
      <c r="AZ480" s="77"/>
      <c r="BA480" s="99">
        <f>IF(OR(AY480="",AZ480=""),0,IFERROR(INDEX(#REF!,MATCH(AY480,#REF!,0))*AZ480,0))</f>
        <v>0</v>
      </c>
      <c r="BB480" s="100">
        <f t="shared" si="70"/>
        <v>0</v>
      </c>
      <c r="BC480" s="110" t="str">
        <f t="shared" si="71"/>
        <v/>
      </c>
      <c r="BD480" s="62"/>
    </row>
    <row r="481" spans="1:56" ht="19.5" customHeight="1" x14ac:dyDescent="0.45">
      <c r="A481" s="104" t="str">
        <f t="shared" si="72"/>
        <v/>
      </c>
      <c r="B481" s="5"/>
      <c r="C481" s="109"/>
      <c r="D481" s="107"/>
      <c r="E481" s="6"/>
      <c r="F481" s="85"/>
      <c r="G481" s="85"/>
      <c r="H481" s="104" t="str">
        <f t="shared" si="64"/>
        <v/>
      </c>
      <c r="I481" s="103" t="str">
        <f>IFERROR(INDEX(#REF!,MATCH(E481,#REF!,0)),"")</f>
        <v/>
      </c>
      <c r="J481" s="6"/>
      <c r="K481" s="103" t="str">
        <f t="shared" si="65"/>
        <v/>
      </c>
      <c r="L481" s="8"/>
      <c r="M481" s="102" t="str">
        <f t="shared" si="66"/>
        <v/>
      </c>
      <c r="N481" s="9"/>
      <c r="O481" s="103" t="str">
        <f t="shared" si="67"/>
        <v/>
      </c>
      <c r="P481" s="6"/>
      <c r="Q481" s="7"/>
      <c r="R481" s="10"/>
      <c r="S481" s="29" t="str">
        <f t="shared" ca="1" si="68"/>
        <v/>
      </c>
      <c r="T481" s="7"/>
      <c r="U481" s="74"/>
      <c r="V481" s="101">
        <f>IF(OR(T481="",U481=""),0,IFERROR(INDEX(#REF!,MATCH(T481,#REF!,0))*U481,0))</f>
        <v>0</v>
      </c>
      <c r="W481" s="7"/>
      <c r="X481" s="74"/>
      <c r="Y481" s="101">
        <f>IF(OR(W481="",X481=""),0,IFERROR(INDEX(#REF!,MATCH(W481,#REF!,0))*X481,0))</f>
        <v>0</v>
      </c>
      <c r="Z481" s="7"/>
      <c r="AA481" s="74"/>
      <c r="AB481" s="101">
        <f>IF(OR(Z481="",AA481=""),0,IFERROR(INDEX(#REF!,MATCH(Z481,#REF!,0))*AA481,0))</f>
        <v>0</v>
      </c>
      <c r="AC481" s="7"/>
      <c r="AD481" s="74"/>
      <c r="AE481" s="101">
        <f>IF(OR(AC481="",AD481=""),0,IFERROR(INDEX(#REF!,MATCH(AC481,#REF!,0))*AD481,0))</f>
        <v>0</v>
      </c>
      <c r="AF481" s="7"/>
      <c r="AG481" s="74"/>
      <c r="AH481" s="101">
        <f>IF(OR(AF481="",AG481=""),0,IFERROR(INDEX(#REF!,MATCH(AF481,#REF!,0))*AG481,0))</f>
        <v>0</v>
      </c>
      <c r="AI481" s="7"/>
      <c r="AJ481" s="74"/>
      <c r="AK481" s="101">
        <f>IF(OR(AI481="",AJ481=""),0,IFERROR(INDEX(#REF!,MATCH(AI481,#REF!,0))*AJ481,0))</f>
        <v>0</v>
      </c>
      <c r="AL481" s="101">
        <f t="shared" si="69"/>
        <v>0</v>
      </c>
      <c r="AM481" s="7"/>
      <c r="AN481" s="72"/>
      <c r="AO481" s="99">
        <f>IF(OR(AM481="",AN481=""),0,IFERROR(INDEX(#REF!,MATCH(AM481,#REF!,0))*AN481,0))</f>
        <v>0</v>
      </c>
      <c r="AP481" s="7"/>
      <c r="AQ481" s="74"/>
      <c r="AR481" s="99">
        <f>IF(OR(AP481="",AQ481=""),0,IFERROR(INDEX(#REF!,MATCH(AP481,#REF!,0))*AQ481,0))</f>
        <v>0</v>
      </c>
      <c r="AS481" s="7"/>
      <c r="AT481" s="74"/>
      <c r="AU481" s="99">
        <f>IF(OR(AS481="",AT481=""),0,IFERROR(INDEX(#REF!,MATCH(AS481,#REF!,0))*AT481,0))</f>
        <v>0</v>
      </c>
      <c r="AV481" s="7"/>
      <c r="AW481" s="74"/>
      <c r="AX481" s="99">
        <f>IF(OR(AV481="",AW481=""),0,IFERROR(INDEX(#REF!,MATCH(AV481,#REF!,0))*AW481,0))</f>
        <v>0</v>
      </c>
      <c r="AY481" s="7"/>
      <c r="AZ481" s="77"/>
      <c r="BA481" s="99">
        <f>IF(OR(AY481="",AZ481=""),0,IFERROR(INDEX(#REF!,MATCH(AY481,#REF!,0))*AZ481,0))</f>
        <v>0</v>
      </c>
      <c r="BB481" s="100">
        <f t="shared" si="70"/>
        <v>0</v>
      </c>
      <c r="BC481" s="110" t="str">
        <f t="shared" si="71"/>
        <v/>
      </c>
      <c r="BD481" s="62"/>
    </row>
    <row r="482" spans="1:56" ht="19.5" customHeight="1" x14ac:dyDescent="0.45">
      <c r="A482" s="104" t="str">
        <f t="shared" si="72"/>
        <v/>
      </c>
      <c r="B482" s="5"/>
      <c r="C482" s="109"/>
      <c r="D482" s="107"/>
      <c r="E482" s="6"/>
      <c r="F482" s="85"/>
      <c r="G482" s="85"/>
      <c r="H482" s="104" t="str">
        <f t="shared" si="64"/>
        <v/>
      </c>
      <c r="I482" s="103" t="str">
        <f>IFERROR(INDEX(#REF!,MATCH(E482,#REF!,0)),"")</f>
        <v/>
      </c>
      <c r="J482" s="6"/>
      <c r="K482" s="103" t="str">
        <f t="shared" si="65"/>
        <v/>
      </c>
      <c r="L482" s="8"/>
      <c r="M482" s="102" t="str">
        <f t="shared" si="66"/>
        <v/>
      </c>
      <c r="N482" s="9"/>
      <c r="O482" s="103" t="str">
        <f t="shared" si="67"/>
        <v/>
      </c>
      <c r="P482" s="6"/>
      <c r="Q482" s="7"/>
      <c r="R482" s="10"/>
      <c r="S482" s="29" t="str">
        <f t="shared" ca="1" si="68"/>
        <v/>
      </c>
      <c r="T482" s="7"/>
      <c r="U482" s="74"/>
      <c r="V482" s="101">
        <f>IF(OR(T482="",U482=""),0,IFERROR(INDEX(#REF!,MATCH(T482,#REF!,0))*U482,0))</f>
        <v>0</v>
      </c>
      <c r="W482" s="7"/>
      <c r="X482" s="74"/>
      <c r="Y482" s="101">
        <f>IF(OR(W482="",X482=""),0,IFERROR(INDEX(#REF!,MATCH(W482,#REF!,0))*X482,0))</f>
        <v>0</v>
      </c>
      <c r="Z482" s="7"/>
      <c r="AA482" s="74"/>
      <c r="AB482" s="101">
        <f>IF(OR(Z482="",AA482=""),0,IFERROR(INDEX(#REF!,MATCH(Z482,#REF!,0))*AA482,0))</f>
        <v>0</v>
      </c>
      <c r="AC482" s="7"/>
      <c r="AD482" s="74"/>
      <c r="AE482" s="101">
        <f>IF(OR(AC482="",AD482=""),0,IFERROR(INDEX(#REF!,MATCH(AC482,#REF!,0))*AD482,0))</f>
        <v>0</v>
      </c>
      <c r="AF482" s="7"/>
      <c r="AG482" s="74"/>
      <c r="AH482" s="101">
        <f>IF(OR(AF482="",AG482=""),0,IFERROR(INDEX(#REF!,MATCH(AF482,#REF!,0))*AG482,0))</f>
        <v>0</v>
      </c>
      <c r="AI482" s="7"/>
      <c r="AJ482" s="74"/>
      <c r="AK482" s="101">
        <f>IF(OR(AI482="",AJ482=""),0,IFERROR(INDEX(#REF!,MATCH(AI482,#REF!,0))*AJ482,0))</f>
        <v>0</v>
      </c>
      <c r="AL482" s="101">
        <f t="shared" si="69"/>
        <v>0</v>
      </c>
      <c r="AM482" s="7"/>
      <c r="AN482" s="72"/>
      <c r="AO482" s="99">
        <f>IF(OR(AM482="",AN482=""),0,IFERROR(INDEX(#REF!,MATCH(AM482,#REF!,0))*AN482,0))</f>
        <v>0</v>
      </c>
      <c r="AP482" s="7"/>
      <c r="AQ482" s="74"/>
      <c r="AR482" s="99">
        <f>IF(OR(AP482="",AQ482=""),0,IFERROR(INDEX(#REF!,MATCH(AP482,#REF!,0))*AQ482,0))</f>
        <v>0</v>
      </c>
      <c r="AS482" s="7"/>
      <c r="AT482" s="74"/>
      <c r="AU482" s="99">
        <f>IF(OR(AS482="",AT482=""),0,IFERROR(INDEX(#REF!,MATCH(AS482,#REF!,0))*AT482,0))</f>
        <v>0</v>
      </c>
      <c r="AV482" s="7"/>
      <c r="AW482" s="74"/>
      <c r="AX482" s="99">
        <f>IF(OR(AV482="",AW482=""),0,IFERROR(INDEX(#REF!,MATCH(AV482,#REF!,0))*AW482,0))</f>
        <v>0</v>
      </c>
      <c r="AY482" s="7"/>
      <c r="AZ482" s="77"/>
      <c r="BA482" s="99">
        <f>IF(OR(AY482="",AZ482=""),0,IFERROR(INDEX(#REF!,MATCH(AY482,#REF!,0))*AZ482,0))</f>
        <v>0</v>
      </c>
      <c r="BB482" s="100">
        <f t="shared" si="70"/>
        <v>0</v>
      </c>
      <c r="BC482" s="110" t="str">
        <f t="shared" si="71"/>
        <v/>
      </c>
      <c r="BD482" s="62"/>
    </row>
    <row r="483" spans="1:56" ht="19.5" customHeight="1" x14ac:dyDescent="0.45">
      <c r="A483" s="104" t="str">
        <f t="shared" si="72"/>
        <v/>
      </c>
      <c r="B483" s="5"/>
      <c r="C483" s="109"/>
      <c r="D483" s="107"/>
      <c r="E483" s="6"/>
      <c r="F483" s="85"/>
      <c r="G483" s="85"/>
      <c r="H483" s="104" t="str">
        <f t="shared" si="64"/>
        <v/>
      </c>
      <c r="I483" s="103" t="str">
        <f>IFERROR(INDEX(#REF!,MATCH(E483,#REF!,0)),"")</f>
        <v/>
      </c>
      <c r="J483" s="6"/>
      <c r="K483" s="103" t="str">
        <f t="shared" si="65"/>
        <v/>
      </c>
      <c r="L483" s="8"/>
      <c r="M483" s="102" t="str">
        <f t="shared" si="66"/>
        <v/>
      </c>
      <c r="N483" s="9"/>
      <c r="O483" s="103" t="str">
        <f t="shared" si="67"/>
        <v/>
      </c>
      <c r="P483" s="6"/>
      <c r="Q483" s="7"/>
      <c r="R483" s="10"/>
      <c r="S483" s="29" t="str">
        <f t="shared" ca="1" si="68"/>
        <v/>
      </c>
      <c r="T483" s="7"/>
      <c r="U483" s="74"/>
      <c r="V483" s="101">
        <f>IF(OR(T483="",U483=""),0,IFERROR(INDEX(#REF!,MATCH(T483,#REF!,0))*U483,0))</f>
        <v>0</v>
      </c>
      <c r="W483" s="7"/>
      <c r="X483" s="74"/>
      <c r="Y483" s="101">
        <f>IF(OR(W483="",X483=""),0,IFERROR(INDEX(#REF!,MATCH(W483,#REF!,0))*X483,0))</f>
        <v>0</v>
      </c>
      <c r="Z483" s="7"/>
      <c r="AA483" s="74"/>
      <c r="AB483" s="101">
        <f>IF(OR(Z483="",AA483=""),0,IFERROR(INDEX(#REF!,MATCH(Z483,#REF!,0))*AA483,0))</f>
        <v>0</v>
      </c>
      <c r="AC483" s="7"/>
      <c r="AD483" s="74"/>
      <c r="AE483" s="101">
        <f>IF(OR(AC483="",AD483=""),0,IFERROR(INDEX(#REF!,MATCH(AC483,#REF!,0))*AD483,0))</f>
        <v>0</v>
      </c>
      <c r="AF483" s="7"/>
      <c r="AG483" s="74"/>
      <c r="AH483" s="101">
        <f>IF(OR(AF483="",AG483=""),0,IFERROR(INDEX(#REF!,MATCH(AF483,#REF!,0))*AG483,0))</f>
        <v>0</v>
      </c>
      <c r="AI483" s="7"/>
      <c r="AJ483" s="74"/>
      <c r="AK483" s="101">
        <f>IF(OR(AI483="",AJ483=""),0,IFERROR(INDEX(#REF!,MATCH(AI483,#REF!,0))*AJ483,0))</f>
        <v>0</v>
      </c>
      <c r="AL483" s="101">
        <f t="shared" si="69"/>
        <v>0</v>
      </c>
      <c r="AM483" s="7"/>
      <c r="AN483" s="72"/>
      <c r="AO483" s="99">
        <f>IF(OR(AM483="",AN483=""),0,IFERROR(INDEX(#REF!,MATCH(AM483,#REF!,0))*AN483,0))</f>
        <v>0</v>
      </c>
      <c r="AP483" s="7"/>
      <c r="AQ483" s="74"/>
      <c r="AR483" s="99">
        <f>IF(OR(AP483="",AQ483=""),0,IFERROR(INDEX(#REF!,MATCH(AP483,#REF!,0))*AQ483,0))</f>
        <v>0</v>
      </c>
      <c r="AS483" s="7"/>
      <c r="AT483" s="74"/>
      <c r="AU483" s="99">
        <f>IF(OR(AS483="",AT483=""),0,IFERROR(INDEX(#REF!,MATCH(AS483,#REF!,0))*AT483,0))</f>
        <v>0</v>
      </c>
      <c r="AV483" s="7"/>
      <c r="AW483" s="74"/>
      <c r="AX483" s="99">
        <f>IF(OR(AV483="",AW483=""),0,IFERROR(INDEX(#REF!,MATCH(AV483,#REF!,0))*AW483,0))</f>
        <v>0</v>
      </c>
      <c r="AY483" s="7"/>
      <c r="AZ483" s="77"/>
      <c r="BA483" s="99">
        <f>IF(OR(AY483="",AZ483=""),0,IFERROR(INDEX(#REF!,MATCH(AY483,#REF!,0))*AZ483,0))</f>
        <v>0</v>
      </c>
      <c r="BB483" s="100">
        <f t="shared" si="70"/>
        <v>0</v>
      </c>
      <c r="BC483" s="110" t="str">
        <f t="shared" si="71"/>
        <v/>
      </c>
      <c r="BD483" s="62"/>
    </row>
    <row r="484" spans="1:56" ht="19.5" customHeight="1" x14ac:dyDescent="0.45">
      <c r="A484" s="104" t="str">
        <f t="shared" si="72"/>
        <v/>
      </c>
      <c r="B484" s="5"/>
      <c r="C484" s="109"/>
      <c r="D484" s="107"/>
      <c r="E484" s="6"/>
      <c r="F484" s="85"/>
      <c r="G484" s="85"/>
      <c r="H484" s="104" t="str">
        <f t="shared" si="64"/>
        <v/>
      </c>
      <c r="I484" s="103" t="str">
        <f>IFERROR(INDEX(#REF!,MATCH(E484,#REF!,0)),"")</f>
        <v/>
      </c>
      <c r="J484" s="6"/>
      <c r="K484" s="103" t="str">
        <f t="shared" si="65"/>
        <v/>
      </c>
      <c r="L484" s="8"/>
      <c r="M484" s="102" t="str">
        <f t="shared" si="66"/>
        <v/>
      </c>
      <c r="N484" s="9"/>
      <c r="O484" s="103" t="str">
        <f t="shared" si="67"/>
        <v/>
      </c>
      <c r="P484" s="6"/>
      <c r="Q484" s="7"/>
      <c r="R484" s="10"/>
      <c r="S484" s="29" t="str">
        <f t="shared" ca="1" si="68"/>
        <v/>
      </c>
      <c r="T484" s="7"/>
      <c r="U484" s="74"/>
      <c r="V484" s="101">
        <f>IF(OR(T484="",U484=""),0,IFERROR(INDEX(#REF!,MATCH(T484,#REF!,0))*U484,0))</f>
        <v>0</v>
      </c>
      <c r="W484" s="7"/>
      <c r="X484" s="74"/>
      <c r="Y484" s="101">
        <f>IF(OR(W484="",X484=""),0,IFERROR(INDEX(#REF!,MATCH(W484,#REF!,0))*X484,0))</f>
        <v>0</v>
      </c>
      <c r="Z484" s="7"/>
      <c r="AA484" s="74"/>
      <c r="AB484" s="101">
        <f>IF(OR(Z484="",AA484=""),0,IFERROR(INDEX(#REF!,MATCH(Z484,#REF!,0))*AA484,0))</f>
        <v>0</v>
      </c>
      <c r="AC484" s="7"/>
      <c r="AD484" s="74"/>
      <c r="AE484" s="101">
        <f>IF(OR(AC484="",AD484=""),0,IFERROR(INDEX(#REF!,MATCH(AC484,#REF!,0))*AD484,0))</f>
        <v>0</v>
      </c>
      <c r="AF484" s="7"/>
      <c r="AG484" s="74"/>
      <c r="AH484" s="101">
        <f>IF(OR(AF484="",AG484=""),0,IFERROR(INDEX(#REF!,MATCH(AF484,#REF!,0))*AG484,0))</f>
        <v>0</v>
      </c>
      <c r="AI484" s="7"/>
      <c r="AJ484" s="74"/>
      <c r="AK484" s="101">
        <f>IF(OR(AI484="",AJ484=""),0,IFERROR(INDEX(#REF!,MATCH(AI484,#REF!,0))*AJ484,0))</f>
        <v>0</v>
      </c>
      <c r="AL484" s="101">
        <f t="shared" si="69"/>
        <v>0</v>
      </c>
      <c r="AM484" s="7"/>
      <c r="AN484" s="72"/>
      <c r="AO484" s="99">
        <f>IF(OR(AM484="",AN484=""),0,IFERROR(INDEX(#REF!,MATCH(AM484,#REF!,0))*AN484,0))</f>
        <v>0</v>
      </c>
      <c r="AP484" s="7"/>
      <c r="AQ484" s="74"/>
      <c r="AR484" s="99">
        <f>IF(OR(AP484="",AQ484=""),0,IFERROR(INDEX(#REF!,MATCH(AP484,#REF!,0))*AQ484,0))</f>
        <v>0</v>
      </c>
      <c r="AS484" s="7"/>
      <c r="AT484" s="74"/>
      <c r="AU484" s="99">
        <f>IF(OR(AS484="",AT484=""),0,IFERROR(INDEX(#REF!,MATCH(AS484,#REF!,0))*AT484,0))</f>
        <v>0</v>
      </c>
      <c r="AV484" s="7"/>
      <c r="AW484" s="74"/>
      <c r="AX484" s="99">
        <f>IF(OR(AV484="",AW484=""),0,IFERROR(INDEX(#REF!,MATCH(AV484,#REF!,0))*AW484,0))</f>
        <v>0</v>
      </c>
      <c r="AY484" s="7"/>
      <c r="AZ484" s="77"/>
      <c r="BA484" s="99">
        <f>IF(OR(AY484="",AZ484=""),0,IFERROR(INDEX(#REF!,MATCH(AY484,#REF!,0))*AZ484,0))</f>
        <v>0</v>
      </c>
      <c r="BB484" s="100">
        <f t="shared" si="70"/>
        <v>0</v>
      </c>
      <c r="BC484" s="110" t="str">
        <f t="shared" si="71"/>
        <v/>
      </c>
      <c r="BD484" s="62"/>
    </row>
    <row r="485" spans="1:56" ht="19.5" customHeight="1" x14ac:dyDescent="0.45">
      <c r="A485" s="104" t="str">
        <f t="shared" si="72"/>
        <v/>
      </c>
      <c r="B485" s="5"/>
      <c r="C485" s="109"/>
      <c r="D485" s="107"/>
      <c r="E485" s="6"/>
      <c r="F485" s="85"/>
      <c r="G485" s="85"/>
      <c r="H485" s="104" t="str">
        <f t="shared" si="64"/>
        <v/>
      </c>
      <c r="I485" s="103" t="str">
        <f>IFERROR(INDEX(#REF!,MATCH(E485,#REF!,0)),"")</f>
        <v/>
      </c>
      <c r="J485" s="6"/>
      <c r="K485" s="103" t="str">
        <f t="shared" si="65"/>
        <v/>
      </c>
      <c r="L485" s="8"/>
      <c r="M485" s="102" t="str">
        <f t="shared" si="66"/>
        <v/>
      </c>
      <c r="N485" s="9"/>
      <c r="O485" s="103" t="str">
        <f t="shared" si="67"/>
        <v/>
      </c>
      <c r="P485" s="6"/>
      <c r="Q485" s="7"/>
      <c r="R485" s="10"/>
      <c r="S485" s="29" t="str">
        <f t="shared" ca="1" si="68"/>
        <v/>
      </c>
      <c r="T485" s="7"/>
      <c r="U485" s="74"/>
      <c r="V485" s="101">
        <f>IF(OR(T485="",U485=""),0,IFERROR(INDEX(#REF!,MATCH(T485,#REF!,0))*U485,0))</f>
        <v>0</v>
      </c>
      <c r="W485" s="7"/>
      <c r="X485" s="74"/>
      <c r="Y485" s="101">
        <f>IF(OR(W485="",X485=""),0,IFERROR(INDEX(#REF!,MATCH(W485,#REF!,0))*X485,0))</f>
        <v>0</v>
      </c>
      <c r="Z485" s="7"/>
      <c r="AA485" s="74"/>
      <c r="AB485" s="101">
        <f>IF(OR(Z485="",AA485=""),0,IFERROR(INDEX(#REF!,MATCH(Z485,#REF!,0))*AA485,0))</f>
        <v>0</v>
      </c>
      <c r="AC485" s="7"/>
      <c r="AD485" s="74"/>
      <c r="AE485" s="101">
        <f>IF(OR(AC485="",AD485=""),0,IFERROR(INDEX(#REF!,MATCH(AC485,#REF!,0))*AD485,0))</f>
        <v>0</v>
      </c>
      <c r="AF485" s="7"/>
      <c r="AG485" s="74"/>
      <c r="AH485" s="101">
        <f>IF(OR(AF485="",AG485=""),0,IFERROR(INDEX(#REF!,MATCH(AF485,#REF!,0))*AG485,0))</f>
        <v>0</v>
      </c>
      <c r="AI485" s="7"/>
      <c r="AJ485" s="74"/>
      <c r="AK485" s="101">
        <f>IF(OR(AI485="",AJ485=""),0,IFERROR(INDEX(#REF!,MATCH(AI485,#REF!,0))*AJ485,0))</f>
        <v>0</v>
      </c>
      <c r="AL485" s="101">
        <f t="shared" si="69"/>
        <v>0</v>
      </c>
      <c r="AM485" s="7"/>
      <c r="AN485" s="72"/>
      <c r="AO485" s="99">
        <f>IF(OR(AM485="",AN485=""),0,IFERROR(INDEX(#REF!,MATCH(AM485,#REF!,0))*AN485,0))</f>
        <v>0</v>
      </c>
      <c r="AP485" s="7"/>
      <c r="AQ485" s="74"/>
      <c r="AR485" s="99">
        <f>IF(OR(AP485="",AQ485=""),0,IFERROR(INDEX(#REF!,MATCH(AP485,#REF!,0))*AQ485,0))</f>
        <v>0</v>
      </c>
      <c r="AS485" s="7"/>
      <c r="AT485" s="74"/>
      <c r="AU485" s="99">
        <f>IF(OR(AS485="",AT485=""),0,IFERROR(INDEX(#REF!,MATCH(AS485,#REF!,0))*AT485,0))</f>
        <v>0</v>
      </c>
      <c r="AV485" s="7"/>
      <c r="AW485" s="74"/>
      <c r="AX485" s="99">
        <f>IF(OR(AV485="",AW485=""),0,IFERROR(INDEX(#REF!,MATCH(AV485,#REF!,0))*AW485,0))</f>
        <v>0</v>
      </c>
      <c r="AY485" s="7"/>
      <c r="AZ485" s="77"/>
      <c r="BA485" s="99">
        <f>IF(OR(AY485="",AZ485=""),0,IFERROR(INDEX(#REF!,MATCH(AY485,#REF!,0))*AZ485,0))</f>
        <v>0</v>
      </c>
      <c r="BB485" s="100">
        <f t="shared" si="70"/>
        <v>0</v>
      </c>
      <c r="BC485" s="110" t="str">
        <f t="shared" si="71"/>
        <v/>
      </c>
      <c r="BD485" s="62"/>
    </row>
    <row r="486" spans="1:56" ht="19.5" customHeight="1" x14ac:dyDescent="0.45">
      <c r="A486" s="104" t="str">
        <f t="shared" si="72"/>
        <v/>
      </c>
      <c r="B486" s="5"/>
      <c r="C486" s="109"/>
      <c r="D486" s="107"/>
      <c r="E486" s="6"/>
      <c r="F486" s="85"/>
      <c r="G486" s="85"/>
      <c r="H486" s="104" t="str">
        <f t="shared" si="64"/>
        <v/>
      </c>
      <c r="I486" s="103" t="str">
        <f>IFERROR(INDEX(#REF!,MATCH(E486,#REF!,0)),"")</f>
        <v/>
      </c>
      <c r="J486" s="6"/>
      <c r="K486" s="103" t="str">
        <f t="shared" si="65"/>
        <v/>
      </c>
      <c r="L486" s="8"/>
      <c r="M486" s="102" t="str">
        <f t="shared" si="66"/>
        <v/>
      </c>
      <c r="N486" s="9"/>
      <c r="O486" s="103" t="str">
        <f t="shared" si="67"/>
        <v/>
      </c>
      <c r="P486" s="6"/>
      <c r="Q486" s="7"/>
      <c r="R486" s="10"/>
      <c r="S486" s="29" t="str">
        <f t="shared" ca="1" si="68"/>
        <v/>
      </c>
      <c r="T486" s="7"/>
      <c r="U486" s="74"/>
      <c r="V486" s="101">
        <f>IF(OR(T486="",U486=""),0,IFERROR(INDEX(#REF!,MATCH(T486,#REF!,0))*U486,0))</f>
        <v>0</v>
      </c>
      <c r="W486" s="7"/>
      <c r="X486" s="74"/>
      <c r="Y486" s="101">
        <f>IF(OR(W486="",X486=""),0,IFERROR(INDEX(#REF!,MATCH(W486,#REF!,0))*X486,0))</f>
        <v>0</v>
      </c>
      <c r="Z486" s="7"/>
      <c r="AA486" s="74"/>
      <c r="AB486" s="101">
        <f>IF(OR(Z486="",AA486=""),0,IFERROR(INDEX(#REF!,MATCH(Z486,#REF!,0))*AA486,0))</f>
        <v>0</v>
      </c>
      <c r="AC486" s="7"/>
      <c r="AD486" s="74"/>
      <c r="AE486" s="101">
        <f>IF(OR(AC486="",AD486=""),0,IFERROR(INDEX(#REF!,MATCH(AC486,#REF!,0))*AD486,0))</f>
        <v>0</v>
      </c>
      <c r="AF486" s="7"/>
      <c r="AG486" s="74"/>
      <c r="AH486" s="101">
        <f>IF(OR(AF486="",AG486=""),0,IFERROR(INDEX(#REF!,MATCH(AF486,#REF!,0))*AG486,0))</f>
        <v>0</v>
      </c>
      <c r="AI486" s="7"/>
      <c r="AJ486" s="74"/>
      <c r="AK486" s="101">
        <f>IF(OR(AI486="",AJ486=""),0,IFERROR(INDEX(#REF!,MATCH(AI486,#REF!,0))*AJ486,0))</f>
        <v>0</v>
      </c>
      <c r="AL486" s="101">
        <f t="shared" si="69"/>
        <v>0</v>
      </c>
      <c r="AM486" s="7"/>
      <c r="AN486" s="72"/>
      <c r="AO486" s="99">
        <f>IF(OR(AM486="",AN486=""),0,IFERROR(INDEX(#REF!,MATCH(AM486,#REF!,0))*AN486,0))</f>
        <v>0</v>
      </c>
      <c r="AP486" s="7"/>
      <c r="AQ486" s="74"/>
      <c r="AR486" s="99">
        <f>IF(OR(AP486="",AQ486=""),0,IFERROR(INDEX(#REF!,MATCH(AP486,#REF!,0))*AQ486,0))</f>
        <v>0</v>
      </c>
      <c r="AS486" s="7"/>
      <c r="AT486" s="74"/>
      <c r="AU486" s="99">
        <f>IF(OR(AS486="",AT486=""),0,IFERROR(INDEX(#REF!,MATCH(AS486,#REF!,0))*AT486,0))</f>
        <v>0</v>
      </c>
      <c r="AV486" s="7"/>
      <c r="AW486" s="74"/>
      <c r="AX486" s="99">
        <f>IF(OR(AV486="",AW486=""),0,IFERROR(INDEX(#REF!,MATCH(AV486,#REF!,0))*AW486,0))</f>
        <v>0</v>
      </c>
      <c r="AY486" s="7"/>
      <c r="AZ486" s="77"/>
      <c r="BA486" s="99">
        <f>IF(OR(AY486="",AZ486=""),0,IFERROR(INDEX(#REF!,MATCH(AY486,#REF!,0))*AZ486,0))</f>
        <v>0</v>
      </c>
      <c r="BB486" s="100">
        <f t="shared" si="70"/>
        <v>0</v>
      </c>
      <c r="BC486" s="110" t="str">
        <f t="shared" si="71"/>
        <v/>
      </c>
      <c r="BD486" s="62"/>
    </row>
    <row r="487" spans="1:56" ht="19.5" customHeight="1" x14ac:dyDescent="0.45">
      <c r="A487" s="104" t="str">
        <f t="shared" si="72"/>
        <v/>
      </c>
      <c r="B487" s="5"/>
      <c r="C487" s="109"/>
      <c r="D487" s="107"/>
      <c r="E487" s="6"/>
      <c r="F487" s="85"/>
      <c r="G487" s="85"/>
      <c r="H487" s="104" t="str">
        <f t="shared" si="64"/>
        <v/>
      </c>
      <c r="I487" s="103" t="str">
        <f>IFERROR(INDEX(#REF!,MATCH(E487,#REF!,0)),"")</f>
        <v/>
      </c>
      <c r="J487" s="6"/>
      <c r="K487" s="103" t="str">
        <f t="shared" si="65"/>
        <v/>
      </c>
      <c r="L487" s="8"/>
      <c r="M487" s="102" t="str">
        <f t="shared" si="66"/>
        <v/>
      </c>
      <c r="N487" s="9"/>
      <c r="O487" s="103" t="str">
        <f t="shared" si="67"/>
        <v/>
      </c>
      <c r="P487" s="6"/>
      <c r="Q487" s="7"/>
      <c r="R487" s="10"/>
      <c r="S487" s="29" t="str">
        <f t="shared" ca="1" si="68"/>
        <v/>
      </c>
      <c r="T487" s="7"/>
      <c r="U487" s="74"/>
      <c r="V487" s="101">
        <f>IF(OR(T487="",U487=""),0,IFERROR(INDEX(#REF!,MATCH(T487,#REF!,0))*U487,0))</f>
        <v>0</v>
      </c>
      <c r="W487" s="7"/>
      <c r="X487" s="74"/>
      <c r="Y487" s="101">
        <f>IF(OR(W487="",X487=""),0,IFERROR(INDEX(#REF!,MATCH(W487,#REF!,0))*X487,0))</f>
        <v>0</v>
      </c>
      <c r="Z487" s="7"/>
      <c r="AA487" s="74"/>
      <c r="AB487" s="101">
        <f>IF(OR(Z487="",AA487=""),0,IFERROR(INDEX(#REF!,MATCH(Z487,#REF!,0))*AA487,0))</f>
        <v>0</v>
      </c>
      <c r="AC487" s="7"/>
      <c r="AD487" s="74"/>
      <c r="AE487" s="101">
        <f>IF(OR(AC487="",AD487=""),0,IFERROR(INDEX(#REF!,MATCH(AC487,#REF!,0))*AD487,0))</f>
        <v>0</v>
      </c>
      <c r="AF487" s="7"/>
      <c r="AG487" s="74"/>
      <c r="AH487" s="101">
        <f>IF(OR(AF487="",AG487=""),0,IFERROR(INDEX(#REF!,MATCH(AF487,#REF!,0))*AG487,0))</f>
        <v>0</v>
      </c>
      <c r="AI487" s="7"/>
      <c r="AJ487" s="74"/>
      <c r="AK487" s="101">
        <f>IF(OR(AI487="",AJ487=""),0,IFERROR(INDEX(#REF!,MATCH(AI487,#REF!,0))*AJ487,0))</f>
        <v>0</v>
      </c>
      <c r="AL487" s="101">
        <f t="shared" si="69"/>
        <v>0</v>
      </c>
      <c r="AM487" s="7"/>
      <c r="AN487" s="72"/>
      <c r="AO487" s="99">
        <f>IF(OR(AM487="",AN487=""),0,IFERROR(INDEX(#REF!,MATCH(AM487,#REF!,0))*AN487,0))</f>
        <v>0</v>
      </c>
      <c r="AP487" s="7"/>
      <c r="AQ487" s="74"/>
      <c r="AR487" s="99">
        <f>IF(OR(AP487="",AQ487=""),0,IFERROR(INDEX(#REF!,MATCH(AP487,#REF!,0))*AQ487,0))</f>
        <v>0</v>
      </c>
      <c r="AS487" s="7"/>
      <c r="AT487" s="74"/>
      <c r="AU487" s="99">
        <f>IF(OR(AS487="",AT487=""),0,IFERROR(INDEX(#REF!,MATCH(AS487,#REF!,0))*AT487,0))</f>
        <v>0</v>
      </c>
      <c r="AV487" s="7"/>
      <c r="AW487" s="74"/>
      <c r="AX487" s="99">
        <f>IF(OR(AV487="",AW487=""),0,IFERROR(INDEX(#REF!,MATCH(AV487,#REF!,0))*AW487,0))</f>
        <v>0</v>
      </c>
      <c r="AY487" s="7"/>
      <c r="AZ487" s="77"/>
      <c r="BA487" s="99">
        <f>IF(OR(AY487="",AZ487=""),0,IFERROR(INDEX(#REF!,MATCH(AY487,#REF!,0))*AZ487,0))</f>
        <v>0</v>
      </c>
      <c r="BB487" s="100">
        <f t="shared" si="70"/>
        <v>0</v>
      </c>
      <c r="BC487" s="110" t="str">
        <f t="shared" si="71"/>
        <v/>
      </c>
      <c r="BD487" s="62"/>
    </row>
    <row r="488" spans="1:56" ht="19.5" customHeight="1" x14ac:dyDescent="0.45">
      <c r="A488" s="104" t="str">
        <f t="shared" si="72"/>
        <v/>
      </c>
      <c r="B488" s="5"/>
      <c r="C488" s="109"/>
      <c r="D488" s="107"/>
      <c r="E488" s="6"/>
      <c r="F488" s="85"/>
      <c r="G488" s="85"/>
      <c r="H488" s="104" t="str">
        <f t="shared" si="64"/>
        <v/>
      </c>
      <c r="I488" s="103" t="str">
        <f>IFERROR(INDEX(#REF!,MATCH(E488,#REF!,0)),"")</f>
        <v/>
      </c>
      <c r="J488" s="6"/>
      <c r="K488" s="103" t="str">
        <f t="shared" si="65"/>
        <v/>
      </c>
      <c r="L488" s="8"/>
      <c r="M488" s="102" t="str">
        <f t="shared" si="66"/>
        <v/>
      </c>
      <c r="N488" s="9"/>
      <c r="O488" s="103" t="str">
        <f t="shared" si="67"/>
        <v/>
      </c>
      <c r="P488" s="6"/>
      <c r="Q488" s="7"/>
      <c r="R488" s="10"/>
      <c r="S488" s="29" t="str">
        <f t="shared" ca="1" si="68"/>
        <v/>
      </c>
      <c r="T488" s="7"/>
      <c r="U488" s="74"/>
      <c r="V488" s="101">
        <f>IF(OR(T488="",U488=""),0,IFERROR(INDEX(#REF!,MATCH(T488,#REF!,0))*U488,0))</f>
        <v>0</v>
      </c>
      <c r="W488" s="7"/>
      <c r="X488" s="74"/>
      <c r="Y488" s="101">
        <f>IF(OR(W488="",X488=""),0,IFERROR(INDEX(#REF!,MATCH(W488,#REF!,0))*X488,0))</f>
        <v>0</v>
      </c>
      <c r="Z488" s="7"/>
      <c r="AA488" s="74"/>
      <c r="AB488" s="101">
        <f>IF(OR(Z488="",AA488=""),0,IFERROR(INDEX(#REF!,MATCH(Z488,#REF!,0))*AA488,0))</f>
        <v>0</v>
      </c>
      <c r="AC488" s="7"/>
      <c r="AD488" s="74"/>
      <c r="AE488" s="101">
        <f>IF(OR(AC488="",AD488=""),0,IFERROR(INDEX(#REF!,MATCH(AC488,#REF!,0))*AD488,0))</f>
        <v>0</v>
      </c>
      <c r="AF488" s="7"/>
      <c r="AG488" s="74"/>
      <c r="AH488" s="101">
        <f>IF(OR(AF488="",AG488=""),0,IFERROR(INDEX(#REF!,MATCH(AF488,#REF!,0))*AG488,0))</f>
        <v>0</v>
      </c>
      <c r="AI488" s="7"/>
      <c r="AJ488" s="74"/>
      <c r="AK488" s="101">
        <f>IF(OR(AI488="",AJ488=""),0,IFERROR(INDEX(#REF!,MATCH(AI488,#REF!,0))*AJ488,0))</f>
        <v>0</v>
      </c>
      <c r="AL488" s="101">
        <f t="shared" si="69"/>
        <v>0</v>
      </c>
      <c r="AM488" s="7"/>
      <c r="AN488" s="72"/>
      <c r="AO488" s="99">
        <f>IF(OR(AM488="",AN488=""),0,IFERROR(INDEX(#REF!,MATCH(AM488,#REF!,0))*AN488,0))</f>
        <v>0</v>
      </c>
      <c r="AP488" s="7"/>
      <c r="AQ488" s="74"/>
      <c r="AR488" s="99">
        <f>IF(OR(AP488="",AQ488=""),0,IFERROR(INDEX(#REF!,MATCH(AP488,#REF!,0))*AQ488,0))</f>
        <v>0</v>
      </c>
      <c r="AS488" s="7"/>
      <c r="AT488" s="74"/>
      <c r="AU488" s="99">
        <f>IF(OR(AS488="",AT488=""),0,IFERROR(INDEX(#REF!,MATCH(AS488,#REF!,0))*AT488,0))</f>
        <v>0</v>
      </c>
      <c r="AV488" s="7"/>
      <c r="AW488" s="74"/>
      <c r="AX488" s="99">
        <f>IF(OR(AV488="",AW488=""),0,IFERROR(INDEX(#REF!,MATCH(AV488,#REF!,0))*AW488,0))</f>
        <v>0</v>
      </c>
      <c r="AY488" s="7"/>
      <c r="AZ488" s="77"/>
      <c r="BA488" s="99">
        <f>IF(OR(AY488="",AZ488=""),0,IFERROR(INDEX(#REF!,MATCH(AY488,#REF!,0))*AZ488,0))</f>
        <v>0</v>
      </c>
      <c r="BB488" s="100">
        <f t="shared" si="70"/>
        <v>0</v>
      </c>
      <c r="BC488" s="110" t="str">
        <f t="shared" si="71"/>
        <v/>
      </c>
      <c r="BD488" s="62"/>
    </row>
    <row r="489" spans="1:56" ht="19.5" customHeight="1" x14ac:dyDescent="0.45">
      <c r="A489" s="104" t="str">
        <f t="shared" si="72"/>
        <v/>
      </c>
      <c r="B489" s="5"/>
      <c r="C489" s="109"/>
      <c r="D489" s="107"/>
      <c r="E489" s="6"/>
      <c r="F489" s="85"/>
      <c r="G489" s="85"/>
      <c r="H489" s="104" t="str">
        <f t="shared" si="64"/>
        <v/>
      </c>
      <c r="I489" s="103" t="str">
        <f>IFERROR(INDEX(#REF!,MATCH(E489,#REF!,0)),"")</f>
        <v/>
      </c>
      <c r="J489" s="6"/>
      <c r="K489" s="103" t="str">
        <f t="shared" si="65"/>
        <v/>
      </c>
      <c r="L489" s="8"/>
      <c r="M489" s="102" t="str">
        <f t="shared" si="66"/>
        <v/>
      </c>
      <c r="N489" s="9"/>
      <c r="O489" s="103" t="str">
        <f t="shared" si="67"/>
        <v/>
      </c>
      <c r="P489" s="6"/>
      <c r="Q489" s="7"/>
      <c r="R489" s="10"/>
      <c r="S489" s="29" t="str">
        <f t="shared" ca="1" si="68"/>
        <v/>
      </c>
      <c r="T489" s="7"/>
      <c r="U489" s="74"/>
      <c r="V489" s="101">
        <f>IF(OR(T489="",U489=""),0,IFERROR(INDEX(#REF!,MATCH(T489,#REF!,0))*U489,0))</f>
        <v>0</v>
      </c>
      <c r="W489" s="7"/>
      <c r="X489" s="74"/>
      <c r="Y489" s="101">
        <f>IF(OR(W489="",X489=""),0,IFERROR(INDEX(#REF!,MATCH(W489,#REF!,0))*X489,0))</f>
        <v>0</v>
      </c>
      <c r="Z489" s="7"/>
      <c r="AA489" s="74"/>
      <c r="AB489" s="101">
        <f>IF(OR(Z489="",AA489=""),0,IFERROR(INDEX(#REF!,MATCH(Z489,#REF!,0))*AA489,0))</f>
        <v>0</v>
      </c>
      <c r="AC489" s="7"/>
      <c r="AD489" s="74"/>
      <c r="AE489" s="101">
        <f>IF(OR(AC489="",AD489=""),0,IFERROR(INDEX(#REF!,MATCH(AC489,#REF!,0))*AD489,0))</f>
        <v>0</v>
      </c>
      <c r="AF489" s="7"/>
      <c r="AG489" s="74"/>
      <c r="AH489" s="101">
        <f>IF(OR(AF489="",AG489=""),0,IFERROR(INDEX(#REF!,MATCH(AF489,#REF!,0))*AG489,0))</f>
        <v>0</v>
      </c>
      <c r="AI489" s="7"/>
      <c r="AJ489" s="74"/>
      <c r="AK489" s="101">
        <f>IF(OR(AI489="",AJ489=""),0,IFERROR(INDEX(#REF!,MATCH(AI489,#REF!,0))*AJ489,0))</f>
        <v>0</v>
      </c>
      <c r="AL489" s="101">
        <f t="shared" si="69"/>
        <v>0</v>
      </c>
      <c r="AM489" s="7"/>
      <c r="AN489" s="72"/>
      <c r="AO489" s="99">
        <f>IF(OR(AM489="",AN489=""),0,IFERROR(INDEX(#REF!,MATCH(AM489,#REF!,0))*AN489,0))</f>
        <v>0</v>
      </c>
      <c r="AP489" s="7"/>
      <c r="AQ489" s="74"/>
      <c r="AR489" s="99">
        <f>IF(OR(AP489="",AQ489=""),0,IFERROR(INDEX(#REF!,MATCH(AP489,#REF!,0))*AQ489,0))</f>
        <v>0</v>
      </c>
      <c r="AS489" s="7"/>
      <c r="AT489" s="74"/>
      <c r="AU489" s="99">
        <f>IF(OR(AS489="",AT489=""),0,IFERROR(INDEX(#REF!,MATCH(AS489,#REF!,0))*AT489,0))</f>
        <v>0</v>
      </c>
      <c r="AV489" s="7"/>
      <c r="AW489" s="74"/>
      <c r="AX489" s="99">
        <f>IF(OR(AV489="",AW489=""),0,IFERROR(INDEX(#REF!,MATCH(AV489,#REF!,0))*AW489,0))</f>
        <v>0</v>
      </c>
      <c r="AY489" s="7"/>
      <c r="AZ489" s="77"/>
      <c r="BA489" s="99">
        <f>IF(OR(AY489="",AZ489=""),0,IFERROR(INDEX(#REF!,MATCH(AY489,#REF!,0))*AZ489,0))</f>
        <v>0</v>
      </c>
      <c r="BB489" s="100">
        <f t="shared" si="70"/>
        <v>0</v>
      </c>
      <c r="BC489" s="110" t="str">
        <f t="shared" si="71"/>
        <v/>
      </c>
      <c r="BD489" s="62"/>
    </row>
    <row r="490" spans="1:56" ht="19.5" customHeight="1" x14ac:dyDescent="0.45">
      <c r="A490" s="104" t="str">
        <f t="shared" si="72"/>
        <v/>
      </c>
      <c r="B490" s="5"/>
      <c r="C490" s="109"/>
      <c r="D490" s="107"/>
      <c r="E490" s="6"/>
      <c r="F490" s="85"/>
      <c r="G490" s="85"/>
      <c r="H490" s="104" t="str">
        <f t="shared" si="64"/>
        <v/>
      </c>
      <c r="I490" s="103" t="str">
        <f>IFERROR(INDEX(#REF!,MATCH(E490,#REF!,0)),"")</f>
        <v/>
      </c>
      <c r="J490" s="6"/>
      <c r="K490" s="103" t="str">
        <f t="shared" si="65"/>
        <v/>
      </c>
      <c r="L490" s="8"/>
      <c r="M490" s="102" t="str">
        <f t="shared" si="66"/>
        <v/>
      </c>
      <c r="N490" s="9"/>
      <c r="O490" s="103" t="str">
        <f t="shared" si="67"/>
        <v/>
      </c>
      <c r="P490" s="6"/>
      <c r="Q490" s="7"/>
      <c r="R490" s="10"/>
      <c r="S490" s="29" t="str">
        <f t="shared" ca="1" si="68"/>
        <v/>
      </c>
      <c r="T490" s="7"/>
      <c r="U490" s="74"/>
      <c r="V490" s="101">
        <f>IF(OR(T490="",U490=""),0,IFERROR(INDEX(#REF!,MATCH(T490,#REF!,0))*U490,0))</f>
        <v>0</v>
      </c>
      <c r="W490" s="7"/>
      <c r="X490" s="74"/>
      <c r="Y490" s="101">
        <f>IF(OR(W490="",X490=""),0,IFERROR(INDEX(#REF!,MATCH(W490,#REF!,0))*X490,0))</f>
        <v>0</v>
      </c>
      <c r="Z490" s="7"/>
      <c r="AA490" s="74"/>
      <c r="AB490" s="101">
        <f>IF(OR(Z490="",AA490=""),0,IFERROR(INDEX(#REF!,MATCH(Z490,#REF!,0))*AA490,0))</f>
        <v>0</v>
      </c>
      <c r="AC490" s="7"/>
      <c r="AD490" s="74"/>
      <c r="AE490" s="101">
        <f>IF(OR(AC490="",AD490=""),0,IFERROR(INDEX(#REF!,MATCH(AC490,#REF!,0))*AD490,0))</f>
        <v>0</v>
      </c>
      <c r="AF490" s="7"/>
      <c r="AG490" s="74"/>
      <c r="AH490" s="101">
        <f>IF(OR(AF490="",AG490=""),0,IFERROR(INDEX(#REF!,MATCH(AF490,#REF!,0))*AG490,0))</f>
        <v>0</v>
      </c>
      <c r="AI490" s="7"/>
      <c r="AJ490" s="74"/>
      <c r="AK490" s="101">
        <f>IF(OR(AI490="",AJ490=""),0,IFERROR(INDEX(#REF!,MATCH(AI490,#REF!,0))*AJ490,0))</f>
        <v>0</v>
      </c>
      <c r="AL490" s="101">
        <f t="shared" si="69"/>
        <v>0</v>
      </c>
      <c r="AM490" s="7"/>
      <c r="AN490" s="72"/>
      <c r="AO490" s="99">
        <f>IF(OR(AM490="",AN490=""),0,IFERROR(INDEX(#REF!,MATCH(AM490,#REF!,0))*AN490,0))</f>
        <v>0</v>
      </c>
      <c r="AP490" s="7"/>
      <c r="AQ490" s="74"/>
      <c r="AR490" s="99">
        <f>IF(OR(AP490="",AQ490=""),0,IFERROR(INDEX(#REF!,MATCH(AP490,#REF!,0))*AQ490,0))</f>
        <v>0</v>
      </c>
      <c r="AS490" s="7"/>
      <c r="AT490" s="74"/>
      <c r="AU490" s="99">
        <f>IF(OR(AS490="",AT490=""),0,IFERROR(INDEX(#REF!,MATCH(AS490,#REF!,0))*AT490,0))</f>
        <v>0</v>
      </c>
      <c r="AV490" s="7"/>
      <c r="AW490" s="74"/>
      <c r="AX490" s="99">
        <f>IF(OR(AV490="",AW490=""),0,IFERROR(INDEX(#REF!,MATCH(AV490,#REF!,0))*AW490,0))</f>
        <v>0</v>
      </c>
      <c r="AY490" s="7"/>
      <c r="AZ490" s="77"/>
      <c r="BA490" s="99">
        <f>IF(OR(AY490="",AZ490=""),0,IFERROR(INDEX(#REF!,MATCH(AY490,#REF!,0))*AZ490,0))</f>
        <v>0</v>
      </c>
      <c r="BB490" s="100">
        <f t="shared" si="70"/>
        <v>0</v>
      </c>
      <c r="BC490" s="110" t="str">
        <f t="shared" si="71"/>
        <v/>
      </c>
      <c r="BD490" s="62"/>
    </row>
    <row r="491" spans="1:56" ht="19.5" customHeight="1" x14ac:dyDescent="0.45">
      <c r="A491" s="104" t="str">
        <f t="shared" si="72"/>
        <v/>
      </c>
      <c r="B491" s="5"/>
      <c r="C491" s="109"/>
      <c r="D491" s="107"/>
      <c r="E491" s="6"/>
      <c r="F491" s="85"/>
      <c r="G491" s="85"/>
      <c r="H491" s="104" t="str">
        <f t="shared" si="64"/>
        <v/>
      </c>
      <c r="I491" s="103" t="str">
        <f>IFERROR(INDEX(#REF!,MATCH(E491,#REF!,0)),"")</f>
        <v/>
      </c>
      <c r="J491" s="6"/>
      <c r="K491" s="103" t="str">
        <f t="shared" si="65"/>
        <v/>
      </c>
      <c r="L491" s="8"/>
      <c r="M491" s="102" t="str">
        <f t="shared" si="66"/>
        <v/>
      </c>
      <c r="N491" s="9"/>
      <c r="O491" s="103" t="str">
        <f t="shared" si="67"/>
        <v/>
      </c>
      <c r="P491" s="6"/>
      <c r="Q491" s="7"/>
      <c r="R491" s="10"/>
      <c r="S491" s="29" t="str">
        <f t="shared" ca="1" si="68"/>
        <v/>
      </c>
      <c r="T491" s="7"/>
      <c r="U491" s="74"/>
      <c r="V491" s="101">
        <f>IF(OR(T491="",U491=""),0,IFERROR(INDEX(#REF!,MATCH(T491,#REF!,0))*U491,0))</f>
        <v>0</v>
      </c>
      <c r="W491" s="7"/>
      <c r="X491" s="74"/>
      <c r="Y491" s="101">
        <f>IF(OR(W491="",X491=""),0,IFERROR(INDEX(#REF!,MATCH(W491,#REF!,0))*X491,0))</f>
        <v>0</v>
      </c>
      <c r="Z491" s="7"/>
      <c r="AA491" s="74"/>
      <c r="AB491" s="101">
        <f>IF(OR(Z491="",AA491=""),0,IFERROR(INDEX(#REF!,MATCH(Z491,#REF!,0))*AA491,0))</f>
        <v>0</v>
      </c>
      <c r="AC491" s="7"/>
      <c r="AD491" s="74"/>
      <c r="AE491" s="101">
        <f>IF(OR(AC491="",AD491=""),0,IFERROR(INDEX(#REF!,MATCH(AC491,#REF!,0))*AD491,0))</f>
        <v>0</v>
      </c>
      <c r="AF491" s="7"/>
      <c r="AG491" s="74"/>
      <c r="AH491" s="101">
        <f>IF(OR(AF491="",AG491=""),0,IFERROR(INDEX(#REF!,MATCH(AF491,#REF!,0))*AG491,0))</f>
        <v>0</v>
      </c>
      <c r="AI491" s="7"/>
      <c r="AJ491" s="74"/>
      <c r="AK491" s="101">
        <f>IF(OR(AI491="",AJ491=""),0,IFERROR(INDEX(#REF!,MATCH(AI491,#REF!,0))*AJ491,0))</f>
        <v>0</v>
      </c>
      <c r="AL491" s="101">
        <f t="shared" si="69"/>
        <v>0</v>
      </c>
      <c r="AM491" s="7"/>
      <c r="AN491" s="72"/>
      <c r="AO491" s="99">
        <f>IF(OR(AM491="",AN491=""),0,IFERROR(INDEX(#REF!,MATCH(AM491,#REF!,0))*AN491,0))</f>
        <v>0</v>
      </c>
      <c r="AP491" s="7"/>
      <c r="AQ491" s="74"/>
      <c r="AR491" s="99">
        <f>IF(OR(AP491="",AQ491=""),0,IFERROR(INDEX(#REF!,MATCH(AP491,#REF!,0))*AQ491,0))</f>
        <v>0</v>
      </c>
      <c r="AS491" s="7"/>
      <c r="AT491" s="74"/>
      <c r="AU491" s="99">
        <f>IF(OR(AS491="",AT491=""),0,IFERROR(INDEX(#REF!,MATCH(AS491,#REF!,0))*AT491,0))</f>
        <v>0</v>
      </c>
      <c r="AV491" s="7"/>
      <c r="AW491" s="74"/>
      <c r="AX491" s="99">
        <f>IF(OR(AV491="",AW491=""),0,IFERROR(INDEX(#REF!,MATCH(AV491,#REF!,0))*AW491,0))</f>
        <v>0</v>
      </c>
      <c r="AY491" s="7"/>
      <c r="AZ491" s="77"/>
      <c r="BA491" s="99">
        <f>IF(OR(AY491="",AZ491=""),0,IFERROR(INDEX(#REF!,MATCH(AY491,#REF!,0))*AZ491,0))</f>
        <v>0</v>
      </c>
      <c r="BB491" s="100">
        <f t="shared" si="70"/>
        <v>0</v>
      </c>
      <c r="BC491" s="110" t="str">
        <f t="shared" si="71"/>
        <v/>
      </c>
      <c r="BD491" s="62"/>
    </row>
    <row r="492" spans="1:56" ht="19.5" customHeight="1" x14ac:dyDescent="0.45">
      <c r="A492" s="104" t="str">
        <f t="shared" si="72"/>
        <v/>
      </c>
      <c r="B492" s="5"/>
      <c r="C492" s="109"/>
      <c r="D492" s="107"/>
      <c r="E492" s="6"/>
      <c r="F492" s="85"/>
      <c r="G492" s="85"/>
      <c r="H492" s="104" t="str">
        <f t="shared" si="64"/>
        <v/>
      </c>
      <c r="I492" s="103" t="str">
        <f>IFERROR(INDEX(#REF!,MATCH(E492,#REF!,0)),"")</f>
        <v/>
      </c>
      <c r="J492" s="6"/>
      <c r="K492" s="103" t="str">
        <f t="shared" si="65"/>
        <v/>
      </c>
      <c r="L492" s="8"/>
      <c r="M492" s="102" t="str">
        <f t="shared" si="66"/>
        <v/>
      </c>
      <c r="N492" s="9"/>
      <c r="O492" s="103" t="str">
        <f t="shared" si="67"/>
        <v/>
      </c>
      <c r="P492" s="6"/>
      <c r="Q492" s="7"/>
      <c r="R492" s="10"/>
      <c r="S492" s="29" t="str">
        <f t="shared" ca="1" si="68"/>
        <v/>
      </c>
      <c r="T492" s="7"/>
      <c r="U492" s="74"/>
      <c r="V492" s="101">
        <f>IF(OR(T492="",U492=""),0,IFERROR(INDEX(#REF!,MATCH(T492,#REF!,0))*U492,0))</f>
        <v>0</v>
      </c>
      <c r="W492" s="7"/>
      <c r="X492" s="74"/>
      <c r="Y492" s="101">
        <f>IF(OR(W492="",X492=""),0,IFERROR(INDEX(#REF!,MATCH(W492,#REF!,0))*X492,0))</f>
        <v>0</v>
      </c>
      <c r="Z492" s="7"/>
      <c r="AA492" s="74"/>
      <c r="AB492" s="101">
        <f>IF(OR(Z492="",AA492=""),0,IFERROR(INDEX(#REF!,MATCH(Z492,#REF!,0))*AA492,0))</f>
        <v>0</v>
      </c>
      <c r="AC492" s="7"/>
      <c r="AD492" s="74"/>
      <c r="AE492" s="101">
        <f>IF(OR(AC492="",AD492=""),0,IFERROR(INDEX(#REF!,MATCH(AC492,#REF!,0))*AD492,0))</f>
        <v>0</v>
      </c>
      <c r="AF492" s="7"/>
      <c r="AG492" s="74"/>
      <c r="AH492" s="101">
        <f>IF(OR(AF492="",AG492=""),0,IFERROR(INDEX(#REF!,MATCH(AF492,#REF!,0))*AG492,0))</f>
        <v>0</v>
      </c>
      <c r="AI492" s="7"/>
      <c r="AJ492" s="74"/>
      <c r="AK492" s="101">
        <f>IF(OR(AI492="",AJ492=""),0,IFERROR(INDEX(#REF!,MATCH(AI492,#REF!,0))*AJ492,0))</f>
        <v>0</v>
      </c>
      <c r="AL492" s="101">
        <f t="shared" si="69"/>
        <v>0</v>
      </c>
      <c r="AM492" s="7"/>
      <c r="AN492" s="72"/>
      <c r="AO492" s="99">
        <f>IF(OR(AM492="",AN492=""),0,IFERROR(INDEX(#REF!,MATCH(AM492,#REF!,0))*AN492,0))</f>
        <v>0</v>
      </c>
      <c r="AP492" s="7"/>
      <c r="AQ492" s="74"/>
      <c r="AR492" s="99">
        <f>IF(OR(AP492="",AQ492=""),0,IFERROR(INDEX(#REF!,MATCH(AP492,#REF!,0))*AQ492,0))</f>
        <v>0</v>
      </c>
      <c r="AS492" s="7"/>
      <c r="AT492" s="74"/>
      <c r="AU492" s="99">
        <f>IF(OR(AS492="",AT492=""),0,IFERROR(INDEX(#REF!,MATCH(AS492,#REF!,0))*AT492,0))</f>
        <v>0</v>
      </c>
      <c r="AV492" s="7"/>
      <c r="AW492" s="74"/>
      <c r="AX492" s="99">
        <f>IF(OR(AV492="",AW492=""),0,IFERROR(INDEX(#REF!,MATCH(AV492,#REF!,0))*AW492,0))</f>
        <v>0</v>
      </c>
      <c r="AY492" s="7"/>
      <c r="AZ492" s="77"/>
      <c r="BA492" s="99">
        <f>IF(OR(AY492="",AZ492=""),0,IFERROR(INDEX(#REF!,MATCH(AY492,#REF!,0))*AZ492,0))</f>
        <v>0</v>
      </c>
      <c r="BB492" s="100">
        <f t="shared" si="70"/>
        <v>0</v>
      </c>
      <c r="BC492" s="110" t="str">
        <f t="shared" si="71"/>
        <v/>
      </c>
      <c r="BD492" s="62"/>
    </row>
    <row r="493" spans="1:56" ht="19.5" customHeight="1" x14ac:dyDescent="0.45">
      <c r="A493" s="104" t="str">
        <f t="shared" si="72"/>
        <v/>
      </c>
      <c r="B493" s="5"/>
      <c r="C493" s="109"/>
      <c r="D493" s="107"/>
      <c r="E493" s="6"/>
      <c r="F493" s="85"/>
      <c r="G493" s="85"/>
      <c r="H493" s="104" t="str">
        <f t="shared" si="64"/>
        <v/>
      </c>
      <c r="I493" s="103" t="str">
        <f>IFERROR(INDEX(#REF!,MATCH(E493,#REF!,0)),"")</f>
        <v/>
      </c>
      <c r="J493" s="6"/>
      <c r="K493" s="103" t="str">
        <f t="shared" si="65"/>
        <v/>
      </c>
      <c r="L493" s="8"/>
      <c r="M493" s="102" t="str">
        <f t="shared" si="66"/>
        <v/>
      </c>
      <c r="N493" s="9"/>
      <c r="O493" s="103" t="str">
        <f t="shared" si="67"/>
        <v/>
      </c>
      <c r="P493" s="6"/>
      <c r="Q493" s="7"/>
      <c r="R493" s="10"/>
      <c r="S493" s="29" t="str">
        <f t="shared" ca="1" si="68"/>
        <v/>
      </c>
      <c r="T493" s="7"/>
      <c r="U493" s="74"/>
      <c r="V493" s="101">
        <f>IF(OR(T493="",U493=""),0,IFERROR(INDEX(#REF!,MATCH(T493,#REF!,0))*U493,0))</f>
        <v>0</v>
      </c>
      <c r="W493" s="7"/>
      <c r="X493" s="74"/>
      <c r="Y493" s="101">
        <f>IF(OR(W493="",X493=""),0,IFERROR(INDEX(#REF!,MATCH(W493,#REF!,0))*X493,0))</f>
        <v>0</v>
      </c>
      <c r="Z493" s="7"/>
      <c r="AA493" s="74"/>
      <c r="AB493" s="101">
        <f>IF(OR(Z493="",AA493=""),0,IFERROR(INDEX(#REF!,MATCH(Z493,#REF!,0))*AA493,0))</f>
        <v>0</v>
      </c>
      <c r="AC493" s="7"/>
      <c r="AD493" s="74"/>
      <c r="AE493" s="101">
        <f>IF(OR(AC493="",AD493=""),0,IFERROR(INDEX(#REF!,MATCH(AC493,#REF!,0))*AD493,0))</f>
        <v>0</v>
      </c>
      <c r="AF493" s="7"/>
      <c r="AG493" s="74"/>
      <c r="AH493" s="101">
        <f>IF(OR(AF493="",AG493=""),0,IFERROR(INDEX(#REF!,MATCH(AF493,#REF!,0))*AG493,0))</f>
        <v>0</v>
      </c>
      <c r="AI493" s="7"/>
      <c r="AJ493" s="74"/>
      <c r="AK493" s="101">
        <f>IF(OR(AI493="",AJ493=""),0,IFERROR(INDEX(#REF!,MATCH(AI493,#REF!,0))*AJ493,0))</f>
        <v>0</v>
      </c>
      <c r="AL493" s="101">
        <f t="shared" si="69"/>
        <v>0</v>
      </c>
      <c r="AM493" s="7"/>
      <c r="AN493" s="72"/>
      <c r="AO493" s="99">
        <f>IF(OR(AM493="",AN493=""),0,IFERROR(INDEX(#REF!,MATCH(AM493,#REF!,0))*AN493,0))</f>
        <v>0</v>
      </c>
      <c r="AP493" s="7"/>
      <c r="AQ493" s="74"/>
      <c r="AR493" s="99">
        <f>IF(OR(AP493="",AQ493=""),0,IFERROR(INDEX(#REF!,MATCH(AP493,#REF!,0))*AQ493,0))</f>
        <v>0</v>
      </c>
      <c r="AS493" s="7"/>
      <c r="AT493" s="74"/>
      <c r="AU493" s="99">
        <f>IF(OR(AS493="",AT493=""),0,IFERROR(INDEX(#REF!,MATCH(AS493,#REF!,0))*AT493,0))</f>
        <v>0</v>
      </c>
      <c r="AV493" s="7"/>
      <c r="AW493" s="74"/>
      <c r="AX493" s="99">
        <f>IF(OR(AV493="",AW493=""),0,IFERROR(INDEX(#REF!,MATCH(AV493,#REF!,0))*AW493,0))</f>
        <v>0</v>
      </c>
      <c r="AY493" s="7"/>
      <c r="AZ493" s="77"/>
      <c r="BA493" s="99">
        <f>IF(OR(AY493="",AZ493=""),0,IFERROR(INDEX(#REF!,MATCH(AY493,#REF!,0))*AZ493,0))</f>
        <v>0</v>
      </c>
      <c r="BB493" s="100">
        <f t="shared" si="70"/>
        <v>0</v>
      </c>
      <c r="BC493" s="110" t="str">
        <f t="shared" si="71"/>
        <v/>
      </c>
      <c r="BD493" s="62"/>
    </row>
    <row r="494" spans="1:56" ht="19.5" customHeight="1" x14ac:dyDescent="0.45">
      <c r="A494" s="104" t="str">
        <f t="shared" si="72"/>
        <v/>
      </c>
      <c r="B494" s="5"/>
      <c r="C494" s="109"/>
      <c r="D494" s="107"/>
      <c r="E494" s="6"/>
      <c r="F494" s="85"/>
      <c r="G494" s="85"/>
      <c r="H494" s="104" t="str">
        <f t="shared" si="64"/>
        <v/>
      </c>
      <c r="I494" s="103" t="str">
        <f>IFERROR(INDEX(#REF!,MATCH(E494,#REF!,0)),"")</f>
        <v/>
      </c>
      <c r="J494" s="6"/>
      <c r="K494" s="103" t="str">
        <f t="shared" si="65"/>
        <v/>
      </c>
      <c r="L494" s="8"/>
      <c r="M494" s="102" t="str">
        <f t="shared" si="66"/>
        <v/>
      </c>
      <c r="N494" s="9"/>
      <c r="O494" s="103" t="str">
        <f t="shared" si="67"/>
        <v/>
      </c>
      <c r="P494" s="6"/>
      <c r="Q494" s="7"/>
      <c r="R494" s="10"/>
      <c r="S494" s="29" t="str">
        <f t="shared" ca="1" si="68"/>
        <v/>
      </c>
      <c r="T494" s="7"/>
      <c r="U494" s="74"/>
      <c r="V494" s="101">
        <f>IF(OR(T494="",U494=""),0,IFERROR(INDEX(#REF!,MATCH(T494,#REF!,0))*U494,0))</f>
        <v>0</v>
      </c>
      <c r="W494" s="7"/>
      <c r="X494" s="74"/>
      <c r="Y494" s="101">
        <f>IF(OR(W494="",X494=""),0,IFERROR(INDEX(#REF!,MATCH(W494,#REF!,0))*X494,0))</f>
        <v>0</v>
      </c>
      <c r="Z494" s="7"/>
      <c r="AA494" s="74"/>
      <c r="AB494" s="101">
        <f>IF(OR(Z494="",AA494=""),0,IFERROR(INDEX(#REF!,MATCH(Z494,#REF!,0))*AA494,0))</f>
        <v>0</v>
      </c>
      <c r="AC494" s="7"/>
      <c r="AD494" s="74"/>
      <c r="AE494" s="101">
        <f>IF(OR(AC494="",AD494=""),0,IFERROR(INDEX(#REF!,MATCH(AC494,#REF!,0))*AD494,0))</f>
        <v>0</v>
      </c>
      <c r="AF494" s="7"/>
      <c r="AG494" s="74"/>
      <c r="AH494" s="101">
        <f>IF(OR(AF494="",AG494=""),0,IFERROR(INDEX(#REF!,MATCH(AF494,#REF!,0))*AG494,0))</f>
        <v>0</v>
      </c>
      <c r="AI494" s="7"/>
      <c r="AJ494" s="74"/>
      <c r="AK494" s="101">
        <f>IF(OR(AI494="",AJ494=""),0,IFERROR(INDEX(#REF!,MATCH(AI494,#REF!,0))*AJ494,0))</f>
        <v>0</v>
      </c>
      <c r="AL494" s="101">
        <f t="shared" si="69"/>
        <v>0</v>
      </c>
      <c r="AM494" s="7"/>
      <c r="AN494" s="72"/>
      <c r="AO494" s="99">
        <f>IF(OR(AM494="",AN494=""),0,IFERROR(INDEX(#REF!,MATCH(AM494,#REF!,0))*AN494,0))</f>
        <v>0</v>
      </c>
      <c r="AP494" s="7"/>
      <c r="AQ494" s="74"/>
      <c r="AR494" s="99">
        <f>IF(OR(AP494="",AQ494=""),0,IFERROR(INDEX(#REF!,MATCH(AP494,#REF!,0))*AQ494,0))</f>
        <v>0</v>
      </c>
      <c r="AS494" s="7"/>
      <c r="AT494" s="74"/>
      <c r="AU494" s="99">
        <f>IF(OR(AS494="",AT494=""),0,IFERROR(INDEX(#REF!,MATCH(AS494,#REF!,0))*AT494,0))</f>
        <v>0</v>
      </c>
      <c r="AV494" s="7"/>
      <c r="AW494" s="74"/>
      <c r="AX494" s="99">
        <f>IF(OR(AV494="",AW494=""),0,IFERROR(INDEX(#REF!,MATCH(AV494,#REF!,0))*AW494,0))</f>
        <v>0</v>
      </c>
      <c r="AY494" s="7"/>
      <c r="AZ494" s="77"/>
      <c r="BA494" s="99">
        <f>IF(OR(AY494="",AZ494=""),0,IFERROR(INDEX(#REF!,MATCH(AY494,#REF!,0))*AZ494,0))</f>
        <v>0</v>
      </c>
      <c r="BB494" s="100">
        <f t="shared" si="70"/>
        <v>0</v>
      </c>
      <c r="BC494" s="110" t="str">
        <f t="shared" si="71"/>
        <v/>
      </c>
      <c r="BD494" s="62"/>
    </row>
    <row r="495" spans="1:56" ht="19.5" customHeight="1" x14ac:dyDescent="0.45">
      <c r="A495" s="104" t="str">
        <f t="shared" si="72"/>
        <v/>
      </c>
      <c r="B495" s="5"/>
      <c r="C495" s="109"/>
      <c r="D495" s="107"/>
      <c r="E495" s="6"/>
      <c r="F495" s="85"/>
      <c r="G495" s="85"/>
      <c r="H495" s="104" t="str">
        <f t="shared" si="64"/>
        <v/>
      </c>
      <c r="I495" s="103" t="str">
        <f>IFERROR(INDEX(#REF!,MATCH(E495,#REF!,0)),"")</f>
        <v/>
      </c>
      <c r="J495" s="6"/>
      <c r="K495" s="103" t="str">
        <f t="shared" si="65"/>
        <v/>
      </c>
      <c r="L495" s="8"/>
      <c r="M495" s="102" t="str">
        <f t="shared" si="66"/>
        <v/>
      </c>
      <c r="N495" s="9"/>
      <c r="O495" s="103" t="str">
        <f t="shared" si="67"/>
        <v/>
      </c>
      <c r="P495" s="6"/>
      <c r="Q495" s="7"/>
      <c r="R495" s="10"/>
      <c r="S495" s="29" t="str">
        <f t="shared" ca="1" si="68"/>
        <v/>
      </c>
      <c r="T495" s="7"/>
      <c r="U495" s="74"/>
      <c r="V495" s="101">
        <f>IF(OR(T495="",U495=""),0,IFERROR(INDEX(#REF!,MATCH(T495,#REF!,0))*U495,0))</f>
        <v>0</v>
      </c>
      <c r="W495" s="7"/>
      <c r="X495" s="74"/>
      <c r="Y495" s="101">
        <f>IF(OR(W495="",X495=""),0,IFERROR(INDEX(#REF!,MATCH(W495,#REF!,0))*X495,0))</f>
        <v>0</v>
      </c>
      <c r="Z495" s="7"/>
      <c r="AA495" s="74"/>
      <c r="AB495" s="101">
        <f>IF(OR(Z495="",AA495=""),0,IFERROR(INDEX(#REF!,MATCH(Z495,#REF!,0))*AA495,0))</f>
        <v>0</v>
      </c>
      <c r="AC495" s="7"/>
      <c r="AD495" s="74"/>
      <c r="AE495" s="101">
        <f>IF(OR(AC495="",AD495=""),0,IFERROR(INDEX(#REF!,MATCH(AC495,#REF!,0))*AD495,0))</f>
        <v>0</v>
      </c>
      <c r="AF495" s="7"/>
      <c r="AG495" s="74"/>
      <c r="AH495" s="101">
        <f>IF(OR(AF495="",AG495=""),0,IFERROR(INDEX(#REF!,MATCH(AF495,#REF!,0))*AG495,0))</f>
        <v>0</v>
      </c>
      <c r="AI495" s="7"/>
      <c r="AJ495" s="74"/>
      <c r="AK495" s="101">
        <f>IF(OR(AI495="",AJ495=""),0,IFERROR(INDEX(#REF!,MATCH(AI495,#REF!,0))*AJ495,0))</f>
        <v>0</v>
      </c>
      <c r="AL495" s="101">
        <f t="shared" si="69"/>
        <v>0</v>
      </c>
      <c r="AM495" s="7"/>
      <c r="AN495" s="72"/>
      <c r="AO495" s="99">
        <f>IF(OR(AM495="",AN495=""),0,IFERROR(INDEX(#REF!,MATCH(AM495,#REF!,0))*AN495,0))</f>
        <v>0</v>
      </c>
      <c r="AP495" s="7"/>
      <c r="AQ495" s="74"/>
      <c r="AR495" s="99">
        <f>IF(OR(AP495="",AQ495=""),0,IFERROR(INDEX(#REF!,MATCH(AP495,#REF!,0))*AQ495,0))</f>
        <v>0</v>
      </c>
      <c r="AS495" s="7"/>
      <c r="AT495" s="74"/>
      <c r="AU495" s="99">
        <f>IF(OR(AS495="",AT495=""),0,IFERROR(INDEX(#REF!,MATCH(AS495,#REF!,0))*AT495,0))</f>
        <v>0</v>
      </c>
      <c r="AV495" s="7"/>
      <c r="AW495" s="74"/>
      <c r="AX495" s="99">
        <f>IF(OR(AV495="",AW495=""),0,IFERROR(INDEX(#REF!,MATCH(AV495,#REF!,0))*AW495,0))</f>
        <v>0</v>
      </c>
      <c r="AY495" s="7"/>
      <c r="AZ495" s="77"/>
      <c r="BA495" s="99">
        <f>IF(OR(AY495="",AZ495=""),0,IFERROR(INDEX(#REF!,MATCH(AY495,#REF!,0))*AZ495,0))</f>
        <v>0</v>
      </c>
      <c r="BB495" s="100">
        <f t="shared" si="70"/>
        <v>0</v>
      </c>
      <c r="BC495" s="110" t="str">
        <f t="shared" si="71"/>
        <v/>
      </c>
      <c r="BD495" s="62"/>
    </row>
    <row r="496" spans="1:56" ht="19.5" customHeight="1" x14ac:dyDescent="0.45">
      <c r="A496" s="104" t="str">
        <f t="shared" si="72"/>
        <v/>
      </c>
      <c r="B496" s="5"/>
      <c r="C496" s="109"/>
      <c r="D496" s="107"/>
      <c r="E496" s="6"/>
      <c r="F496" s="85"/>
      <c r="G496" s="85"/>
      <c r="H496" s="104" t="str">
        <f t="shared" si="64"/>
        <v/>
      </c>
      <c r="I496" s="103" t="str">
        <f>IFERROR(INDEX(#REF!,MATCH(E496,#REF!,0)),"")</f>
        <v/>
      </c>
      <c r="J496" s="6"/>
      <c r="K496" s="103" t="str">
        <f t="shared" si="65"/>
        <v/>
      </c>
      <c r="L496" s="8"/>
      <c r="M496" s="102" t="str">
        <f t="shared" si="66"/>
        <v/>
      </c>
      <c r="N496" s="9"/>
      <c r="O496" s="103" t="str">
        <f t="shared" si="67"/>
        <v/>
      </c>
      <c r="P496" s="6"/>
      <c r="Q496" s="7"/>
      <c r="R496" s="10"/>
      <c r="S496" s="29" t="str">
        <f t="shared" ca="1" si="68"/>
        <v/>
      </c>
      <c r="T496" s="7"/>
      <c r="U496" s="74"/>
      <c r="V496" s="101">
        <f>IF(OR(T496="",U496=""),0,IFERROR(INDEX(#REF!,MATCH(T496,#REF!,0))*U496,0))</f>
        <v>0</v>
      </c>
      <c r="W496" s="7"/>
      <c r="X496" s="74"/>
      <c r="Y496" s="101">
        <f>IF(OR(W496="",X496=""),0,IFERROR(INDEX(#REF!,MATCH(W496,#REF!,0))*X496,0))</f>
        <v>0</v>
      </c>
      <c r="Z496" s="7"/>
      <c r="AA496" s="74"/>
      <c r="AB496" s="101">
        <f>IF(OR(Z496="",AA496=""),0,IFERROR(INDEX(#REF!,MATCH(Z496,#REF!,0))*AA496,0))</f>
        <v>0</v>
      </c>
      <c r="AC496" s="7"/>
      <c r="AD496" s="74"/>
      <c r="AE496" s="101">
        <f>IF(OR(AC496="",AD496=""),0,IFERROR(INDEX(#REF!,MATCH(AC496,#REF!,0))*AD496,0))</f>
        <v>0</v>
      </c>
      <c r="AF496" s="7"/>
      <c r="AG496" s="74"/>
      <c r="AH496" s="101">
        <f>IF(OR(AF496="",AG496=""),0,IFERROR(INDEX(#REF!,MATCH(AF496,#REF!,0))*AG496,0))</f>
        <v>0</v>
      </c>
      <c r="AI496" s="7"/>
      <c r="AJ496" s="74"/>
      <c r="AK496" s="101">
        <f>IF(OR(AI496="",AJ496=""),0,IFERROR(INDEX(#REF!,MATCH(AI496,#REF!,0))*AJ496,0))</f>
        <v>0</v>
      </c>
      <c r="AL496" s="101">
        <f t="shared" si="69"/>
        <v>0</v>
      </c>
      <c r="AM496" s="7"/>
      <c r="AN496" s="72"/>
      <c r="AO496" s="99">
        <f>IF(OR(AM496="",AN496=""),0,IFERROR(INDEX(#REF!,MATCH(AM496,#REF!,0))*AN496,0))</f>
        <v>0</v>
      </c>
      <c r="AP496" s="7"/>
      <c r="AQ496" s="74"/>
      <c r="AR496" s="99">
        <f>IF(OR(AP496="",AQ496=""),0,IFERROR(INDEX(#REF!,MATCH(AP496,#REF!,0))*AQ496,0))</f>
        <v>0</v>
      </c>
      <c r="AS496" s="7"/>
      <c r="AT496" s="74"/>
      <c r="AU496" s="99">
        <f>IF(OR(AS496="",AT496=""),0,IFERROR(INDEX(#REF!,MATCH(AS496,#REF!,0))*AT496,0))</f>
        <v>0</v>
      </c>
      <c r="AV496" s="7"/>
      <c r="AW496" s="74"/>
      <c r="AX496" s="99">
        <f>IF(OR(AV496="",AW496=""),0,IFERROR(INDEX(#REF!,MATCH(AV496,#REF!,0))*AW496,0))</f>
        <v>0</v>
      </c>
      <c r="AY496" s="7"/>
      <c r="AZ496" s="77"/>
      <c r="BA496" s="99">
        <f>IF(OR(AY496="",AZ496=""),0,IFERROR(INDEX(#REF!,MATCH(AY496,#REF!,0))*AZ496,0))</f>
        <v>0</v>
      </c>
      <c r="BB496" s="100">
        <f t="shared" si="70"/>
        <v>0</v>
      </c>
      <c r="BC496" s="110" t="str">
        <f t="shared" si="71"/>
        <v/>
      </c>
      <c r="BD496" s="62"/>
    </row>
    <row r="497" spans="1:56" ht="19.5" customHeight="1" x14ac:dyDescent="0.45">
      <c r="A497" s="104" t="str">
        <f t="shared" si="72"/>
        <v/>
      </c>
      <c r="B497" s="5"/>
      <c r="C497" s="109"/>
      <c r="D497" s="107"/>
      <c r="E497" s="6"/>
      <c r="F497" s="85"/>
      <c r="G497" s="85"/>
      <c r="H497" s="104" t="str">
        <f t="shared" si="64"/>
        <v/>
      </c>
      <c r="I497" s="103" t="str">
        <f>IFERROR(INDEX(#REF!,MATCH(E497,#REF!,0)),"")</f>
        <v/>
      </c>
      <c r="J497" s="6"/>
      <c r="K497" s="103" t="str">
        <f t="shared" si="65"/>
        <v/>
      </c>
      <c r="L497" s="8"/>
      <c r="M497" s="102" t="str">
        <f t="shared" si="66"/>
        <v/>
      </c>
      <c r="N497" s="9"/>
      <c r="O497" s="103" t="str">
        <f t="shared" si="67"/>
        <v/>
      </c>
      <c r="P497" s="6"/>
      <c r="Q497" s="7"/>
      <c r="R497" s="10"/>
      <c r="S497" s="29" t="str">
        <f t="shared" ca="1" si="68"/>
        <v/>
      </c>
      <c r="T497" s="7"/>
      <c r="U497" s="74"/>
      <c r="V497" s="101">
        <f>IF(OR(T497="",U497=""),0,IFERROR(INDEX(#REF!,MATCH(T497,#REF!,0))*U497,0))</f>
        <v>0</v>
      </c>
      <c r="W497" s="7"/>
      <c r="X497" s="74"/>
      <c r="Y497" s="101">
        <f>IF(OR(W497="",X497=""),0,IFERROR(INDEX(#REF!,MATCH(W497,#REF!,0))*X497,0))</f>
        <v>0</v>
      </c>
      <c r="Z497" s="7"/>
      <c r="AA497" s="74"/>
      <c r="AB497" s="101">
        <f>IF(OR(Z497="",AA497=""),0,IFERROR(INDEX(#REF!,MATCH(Z497,#REF!,0))*AA497,0))</f>
        <v>0</v>
      </c>
      <c r="AC497" s="7"/>
      <c r="AD497" s="74"/>
      <c r="AE497" s="101">
        <f>IF(OR(AC497="",AD497=""),0,IFERROR(INDEX(#REF!,MATCH(AC497,#REF!,0))*AD497,0))</f>
        <v>0</v>
      </c>
      <c r="AF497" s="7"/>
      <c r="AG497" s="74"/>
      <c r="AH497" s="101">
        <f>IF(OR(AF497="",AG497=""),0,IFERROR(INDEX(#REF!,MATCH(AF497,#REF!,0))*AG497,0))</f>
        <v>0</v>
      </c>
      <c r="AI497" s="7"/>
      <c r="AJ497" s="74"/>
      <c r="AK497" s="101">
        <f>IF(OR(AI497="",AJ497=""),0,IFERROR(INDEX(#REF!,MATCH(AI497,#REF!,0))*AJ497,0))</f>
        <v>0</v>
      </c>
      <c r="AL497" s="101">
        <f t="shared" si="69"/>
        <v>0</v>
      </c>
      <c r="AM497" s="7"/>
      <c r="AN497" s="72"/>
      <c r="AO497" s="99">
        <f>IF(OR(AM497="",AN497=""),0,IFERROR(INDEX(#REF!,MATCH(AM497,#REF!,0))*AN497,0))</f>
        <v>0</v>
      </c>
      <c r="AP497" s="7"/>
      <c r="AQ497" s="74"/>
      <c r="AR497" s="99">
        <f>IF(OR(AP497="",AQ497=""),0,IFERROR(INDEX(#REF!,MATCH(AP497,#REF!,0))*AQ497,0))</f>
        <v>0</v>
      </c>
      <c r="AS497" s="7"/>
      <c r="AT497" s="74"/>
      <c r="AU497" s="99">
        <f>IF(OR(AS497="",AT497=""),0,IFERROR(INDEX(#REF!,MATCH(AS497,#REF!,0))*AT497,0))</f>
        <v>0</v>
      </c>
      <c r="AV497" s="7"/>
      <c r="AW497" s="74"/>
      <c r="AX497" s="99">
        <f>IF(OR(AV497="",AW497=""),0,IFERROR(INDEX(#REF!,MATCH(AV497,#REF!,0))*AW497,0))</f>
        <v>0</v>
      </c>
      <c r="AY497" s="7"/>
      <c r="AZ497" s="77"/>
      <c r="BA497" s="99">
        <f>IF(OR(AY497="",AZ497=""),0,IFERROR(INDEX(#REF!,MATCH(AY497,#REF!,0))*AZ497,0))</f>
        <v>0</v>
      </c>
      <c r="BB497" s="100">
        <f t="shared" si="70"/>
        <v>0</v>
      </c>
      <c r="BC497" s="110" t="str">
        <f t="shared" si="71"/>
        <v/>
      </c>
      <c r="BD497" s="62"/>
    </row>
    <row r="498" spans="1:56" ht="19.5" customHeight="1" x14ac:dyDescent="0.45">
      <c r="A498" s="104" t="str">
        <f t="shared" si="72"/>
        <v/>
      </c>
      <c r="B498" s="5"/>
      <c r="C498" s="109"/>
      <c r="D498" s="107"/>
      <c r="E498" s="6"/>
      <c r="F498" s="85"/>
      <c r="G498" s="85"/>
      <c r="H498" s="104" t="str">
        <f t="shared" si="64"/>
        <v/>
      </c>
      <c r="I498" s="103" t="str">
        <f>IFERROR(INDEX(#REF!,MATCH(E498,#REF!,0)),"")</f>
        <v/>
      </c>
      <c r="J498" s="6"/>
      <c r="K498" s="103" t="str">
        <f t="shared" si="65"/>
        <v/>
      </c>
      <c r="L498" s="8"/>
      <c r="M498" s="102" t="str">
        <f t="shared" si="66"/>
        <v/>
      </c>
      <c r="N498" s="9"/>
      <c r="O498" s="103" t="str">
        <f t="shared" si="67"/>
        <v/>
      </c>
      <c r="P498" s="6"/>
      <c r="Q498" s="7"/>
      <c r="R498" s="10"/>
      <c r="S498" s="29" t="str">
        <f t="shared" ca="1" si="68"/>
        <v/>
      </c>
      <c r="T498" s="7"/>
      <c r="U498" s="74"/>
      <c r="V498" s="101">
        <f>IF(OR(T498="",U498=""),0,IFERROR(INDEX(#REF!,MATCH(T498,#REF!,0))*U498,0))</f>
        <v>0</v>
      </c>
      <c r="W498" s="7"/>
      <c r="X498" s="74"/>
      <c r="Y498" s="101">
        <f>IF(OR(W498="",X498=""),0,IFERROR(INDEX(#REF!,MATCH(W498,#REF!,0))*X498,0))</f>
        <v>0</v>
      </c>
      <c r="Z498" s="7"/>
      <c r="AA498" s="74"/>
      <c r="AB498" s="101">
        <f>IF(OR(Z498="",AA498=""),0,IFERROR(INDEX(#REF!,MATCH(Z498,#REF!,0))*AA498,0))</f>
        <v>0</v>
      </c>
      <c r="AC498" s="7"/>
      <c r="AD498" s="74"/>
      <c r="AE498" s="101">
        <f>IF(OR(AC498="",AD498=""),0,IFERROR(INDEX(#REF!,MATCH(AC498,#REF!,0))*AD498,0))</f>
        <v>0</v>
      </c>
      <c r="AF498" s="7"/>
      <c r="AG498" s="74"/>
      <c r="AH498" s="101">
        <f>IF(OR(AF498="",AG498=""),0,IFERROR(INDEX(#REF!,MATCH(AF498,#REF!,0))*AG498,0))</f>
        <v>0</v>
      </c>
      <c r="AI498" s="7"/>
      <c r="AJ498" s="74"/>
      <c r="AK498" s="101">
        <f>IF(OR(AI498="",AJ498=""),0,IFERROR(INDEX(#REF!,MATCH(AI498,#REF!,0))*AJ498,0))</f>
        <v>0</v>
      </c>
      <c r="AL498" s="101">
        <f t="shared" si="69"/>
        <v>0</v>
      </c>
      <c r="AM498" s="7"/>
      <c r="AN498" s="72"/>
      <c r="AO498" s="99">
        <f>IF(OR(AM498="",AN498=""),0,IFERROR(INDEX(#REF!,MATCH(AM498,#REF!,0))*AN498,0))</f>
        <v>0</v>
      </c>
      <c r="AP498" s="7"/>
      <c r="AQ498" s="74"/>
      <c r="AR498" s="99">
        <f>IF(OR(AP498="",AQ498=""),0,IFERROR(INDEX(#REF!,MATCH(AP498,#REF!,0))*AQ498,0))</f>
        <v>0</v>
      </c>
      <c r="AS498" s="7"/>
      <c r="AT498" s="74"/>
      <c r="AU498" s="99">
        <f>IF(OR(AS498="",AT498=""),0,IFERROR(INDEX(#REF!,MATCH(AS498,#REF!,0))*AT498,0))</f>
        <v>0</v>
      </c>
      <c r="AV498" s="7"/>
      <c r="AW498" s="74"/>
      <c r="AX498" s="99">
        <f>IF(OR(AV498="",AW498=""),0,IFERROR(INDEX(#REF!,MATCH(AV498,#REF!,0))*AW498,0))</f>
        <v>0</v>
      </c>
      <c r="AY498" s="7"/>
      <c r="AZ498" s="77"/>
      <c r="BA498" s="99">
        <f>IF(OR(AY498="",AZ498=""),0,IFERROR(INDEX(#REF!,MATCH(AY498,#REF!,0))*AZ498,0))</f>
        <v>0</v>
      </c>
      <c r="BB498" s="100">
        <f t="shared" si="70"/>
        <v>0</v>
      </c>
      <c r="BC498" s="110" t="str">
        <f t="shared" si="71"/>
        <v/>
      </c>
      <c r="BD498" s="62"/>
    </row>
    <row r="499" spans="1:56" ht="19.5" customHeight="1" x14ac:dyDescent="0.45">
      <c r="A499" s="104" t="str">
        <f t="shared" si="72"/>
        <v/>
      </c>
      <c r="B499" s="5"/>
      <c r="C499" s="109"/>
      <c r="D499" s="107"/>
      <c r="E499" s="6"/>
      <c r="F499" s="85"/>
      <c r="G499" s="85"/>
      <c r="H499" s="104" t="str">
        <f t="shared" si="64"/>
        <v/>
      </c>
      <c r="I499" s="103" t="str">
        <f>IFERROR(INDEX(#REF!,MATCH(E499,#REF!,0)),"")</f>
        <v/>
      </c>
      <c r="J499" s="6"/>
      <c r="K499" s="103" t="str">
        <f t="shared" si="65"/>
        <v/>
      </c>
      <c r="L499" s="8"/>
      <c r="M499" s="102" t="str">
        <f t="shared" si="66"/>
        <v/>
      </c>
      <c r="N499" s="9"/>
      <c r="O499" s="103" t="str">
        <f t="shared" si="67"/>
        <v/>
      </c>
      <c r="P499" s="6"/>
      <c r="Q499" s="7"/>
      <c r="R499" s="10"/>
      <c r="S499" s="29" t="str">
        <f t="shared" ca="1" si="68"/>
        <v/>
      </c>
      <c r="T499" s="7"/>
      <c r="U499" s="74"/>
      <c r="V499" s="101">
        <f>IF(OR(T499="",U499=""),0,IFERROR(INDEX(#REF!,MATCH(T499,#REF!,0))*U499,0))</f>
        <v>0</v>
      </c>
      <c r="W499" s="7"/>
      <c r="X499" s="74"/>
      <c r="Y499" s="101">
        <f>IF(OR(W499="",X499=""),0,IFERROR(INDEX(#REF!,MATCH(W499,#REF!,0))*X499,0))</f>
        <v>0</v>
      </c>
      <c r="Z499" s="7"/>
      <c r="AA499" s="74"/>
      <c r="AB499" s="101">
        <f>IF(OR(Z499="",AA499=""),0,IFERROR(INDEX(#REF!,MATCH(Z499,#REF!,0))*AA499,0))</f>
        <v>0</v>
      </c>
      <c r="AC499" s="7"/>
      <c r="AD499" s="74"/>
      <c r="AE499" s="101">
        <f>IF(OR(AC499="",AD499=""),0,IFERROR(INDEX(#REF!,MATCH(AC499,#REF!,0))*AD499,0))</f>
        <v>0</v>
      </c>
      <c r="AF499" s="7"/>
      <c r="AG499" s="74"/>
      <c r="AH499" s="101">
        <f>IF(OR(AF499="",AG499=""),0,IFERROR(INDEX(#REF!,MATCH(AF499,#REF!,0))*AG499,0))</f>
        <v>0</v>
      </c>
      <c r="AI499" s="7"/>
      <c r="AJ499" s="74"/>
      <c r="AK499" s="101">
        <f>IF(OR(AI499="",AJ499=""),0,IFERROR(INDEX(#REF!,MATCH(AI499,#REF!,0))*AJ499,0))</f>
        <v>0</v>
      </c>
      <c r="AL499" s="101">
        <f t="shared" si="69"/>
        <v>0</v>
      </c>
      <c r="AM499" s="7"/>
      <c r="AN499" s="72"/>
      <c r="AO499" s="99">
        <f>IF(OR(AM499="",AN499=""),0,IFERROR(INDEX(#REF!,MATCH(AM499,#REF!,0))*AN499,0))</f>
        <v>0</v>
      </c>
      <c r="AP499" s="7"/>
      <c r="AQ499" s="74"/>
      <c r="AR499" s="99">
        <f>IF(OR(AP499="",AQ499=""),0,IFERROR(INDEX(#REF!,MATCH(AP499,#REF!,0))*AQ499,0))</f>
        <v>0</v>
      </c>
      <c r="AS499" s="7"/>
      <c r="AT499" s="74"/>
      <c r="AU499" s="99">
        <f>IF(OR(AS499="",AT499=""),0,IFERROR(INDEX(#REF!,MATCH(AS499,#REF!,0))*AT499,0))</f>
        <v>0</v>
      </c>
      <c r="AV499" s="7"/>
      <c r="AW499" s="74"/>
      <c r="AX499" s="99">
        <f>IF(OR(AV499="",AW499=""),0,IFERROR(INDEX(#REF!,MATCH(AV499,#REF!,0))*AW499,0))</f>
        <v>0</v>
      </c>
      <c r="AY499" s="7"/>
      <c r="AZ499" s="77"/>
      <c r="BA499" s="99">
        <f>IF(OR(AY499="",AZ499=""),0,IFERROR(INDEX(#REF!,MATCH(AY499,#REF!,0))*AZ499,0))</f>
        <v>0</v>
      </c>
      <c r="BB499" s="100">
        <f t="shared" si="70"/>
        <v>0</v>
      </c>
      <c r="BC499" s="110" t="str">
        <f t="shared" si="71"/>
        <v/>
      </c>
      <c r="BD499" s="62"/>
    </row>
    <row r="500" spans="1:56" ht="19.5" customHeight="1" x14ac:dyDescent="0.45">
      <c r="A500" s="104" t="str">
        <f t="shared" si="72"/>
        <v/>
      </c>
      <c r="B500" s="5"/>
      <c r="C500" s="109"/>
      <c r="D500" s="107"/>
      <c r="E500" s="6"/>
      <c r="F500" s="85"/>
      <c r="G500" s="85"/>
      <c r="H500" s="104" t="str">
        <f t="shared" si="64"/>
        <v/>
      </c>
      <c r="I500" s="103" t="str">
        <f>IFERROR(INDEX(#REF!,MATCH(E500,#REF!,0)),"")</f>
        <v/>
      </c>
      <c r="J500" s="6"/>
      <c r="K500" s="103" t="str">
        <f t="shared" si="65"/>
        <v/>
      </c>
      <c r="L500" s="8"/>
      <c r="M500" s="102" t="str">
        <f t="shared" si="66"/>
        <v/>
      </c>
      <c r="N500" s="9"/>
      <c r="O500" s="103" t="str">
        <f t="shared" si="67"/>
        <v/>
      </c>
      <c r="P500" s="6"/>
      <c r="Q500" s="7"/>
      <c r="R500" s="10"/>
      <c r="S500" s="29" t="str">
        <f t="shared" ca="1" si="68"/>
        <v/>
      </c>
      <c r="T500" s="7"/>
      <c r="U500" s="74"/>
      <c r="V500" s="101">
        <f>IF(OR(T500="",U500=""),0,IFERROR(INDEX(#REF!,MATCH(T500,#REF!,0))*U500,0))</f>
        <v>0</v>
      </c>
      <c r="W500" s="7"/>
      <c r="X500" s="74"/>
      <c r="Y500" s="101">
        <f>IF(OR(W500="",X500=""),0,IFERROR(INDEX(#REF!,MATCH(W500,#REF!,0))*X500,0))</f>
        <v>0</v>
      </c>
      <c r="Z500" s="7"/>
      <c r="AA500" s="74"/>
      <c r="AB500" s="101">
        <f>IF(OR(Z500="",AA500=""),0,IFERROR(INDEX(#REF!,MATCH(Z500,#REF!,0))*AA500,0))</f>
        <v>0</v>
      </c>
      <c r="AC500" s="7"/>
      <c r="AD500" s="74"/>
      <c r="AE500" s="101">
        <f>IF(OR(AC500="",AD500=""),0,IFERROR(INDEX(#REF!,MATCH(AC500,#REF!,0))*AD500,0))</f>
        <v>0</v>
      </c>
      <c r="AF500" s="7"/>
      <c r="AG500" s="74"/>
      <c r="AH500" s="101">
        <f>IF(OR(AF500="",AG500=""),0,IFERROR(INDEX(#REF!,MATCH(AF500,#REF!,0))*AG500,0))</f>
        <v>0</v>
      </c>
      <c r="AI500" s="7"/>
      <c r="AJ500" s="74"/>
      <c r="AK500" s="101">
        <f>IF(OR(AI500="",AJ500=""),0,IFERROR(INDEX(#REF!,MATCH(AI500,#REF!,0))*AJ500,0))</f>
        <v>0</v>
      </c>
      <c r="AL500" s="101">
        <f t="shared" si="69"/>
        <v>0</v>
      </c>
      <c r="AM500" s="7"/>
      <c r="AN500" s="72"/>
      <c r="AO500" s="99">
        <f>IF(OR(AM500="",AN500=""),0,IFERROR(INDEX(#REF!,MATCH(AM500,#REF!,0))*AN500,0))</f>
        <v>0</v>
      </c>
      <c r="AP500" s="7"/>
      <c r="AQ500" s="74"/>
      <c r="AR500" s="99">
        <f>IF(OR(AP500="",AQ500=""),0,IFERROR(INDEX(#REF!,MATCH(AP500,#REF!,0))*AQ500,0))</f>
        <v>0</v>
      </c>
      <c r="AS500" s="7"/>
      <c r="AT500" s="74"/>
      <c r="AU500" s="99">
        <f>IF(OR(AS500="",AT500=""),0,IFERROR(INDEX(#REF!,MATCH(AS500,#REF!,0))*AT500,0))</f>
        <v>0</v>
      </c>
      <c r="AV500" s="7"/>
      <c r="AW500" s="74"/>
      <c r="AX500" s="99">
        <f>IF(OR(AV500="",AW500=""),0,IFERROR(INDEX(#REF!,MATCH(AV500,#REF!,0))*AW500,0))</f>
        <v>0</v>
      </c>
      <c r="AY500" s="7"/>
      <c r="AZ500" s="77"/>
      <c r="BA500" s="99">
        <f>IF(OR(AY500="",AZ500=""),0,IFERROR(INDEX(#REF!,MATCH(AY500,#REF!,0))*AZ500,0))</f>
        <v>0</v>
      </c>
      <c r="BB500" s="100">
        <f t="shared" si="70"/>
        <v>0</v>
      </c>
      <c r="BC500" s="110" t="str">
        <f t="shared" si="71"/>
        <v/>
      </c>
      <c r="BD500" s="62"/>
    </row>
  </sheetData>
  <mergeCells count="6">
    <mergeCell ref="A1:R1"/>
    <mergeCell ref="A2:R2"/>
    <mergeCell ref="BD3:BD4"/>
    <mergeCell ref="BC3:BC4"/>
    <mergeCell ref="AM3:BB3"/>
    <mergeCell ref="T3:AL3"/>
  </mergeCells>
  <conditionalFormatting sqref="P5:P20">
    <cfRule type="expression" dxfId="11" priority="8">
      <formula>P5="Confirmed"</formula>
    </cfRule>
    <cfRule type="expression" dxfId="10" priority="9">
      <formula>P5="Pending"</formula>
    </cfRule>
    <cfRule type="expression" dxfId="9" priority="10">
      <formula>P5="Checked-in"</formula>
    </cfRule>
    <cfRule type="expression" dxfId="8" priority="11">
      <formula>P5="Checked-out"</formula>
    </cfRule>
    <cfRule type="expression" dxfId="7" priority="12">
      <formula>P5="Cancelled"</formula>
    </cfRule>
  </conditionalFormatting>
  <conditionalFormatting sqref="O5:O20">
    <cfRule type="cellIs" dxfId="6" priority="13" operator="greaterThan">
      <formula>0</formula>
    </cfRule>
  </conditionalFormatting>
  <conditionalFormatting sqref="P21:P500">
    <cfRule type="expression" dxfId="5" priority="1">
      <formula>P21="Confirmed"</formula>
    </cfRule>
    <cfRule type="expression" dxfId="4" priority="2">
      <formula>P21="Pending"</formula>
    </cfRule>
    <cfRule type="expression" dxfId="3" priority="3">
      <formula>P21="Checked-in"</formula>
    </cfRule>
    <cfRule type="expression" dxfId="2" priority="4">
      <formula>P21="Checked-out"</formula>
    </cfRule>
    <cfRule type="expression" dxfId="1" priority="5">
      <formula>P21="Cancelled"</formula>
    </cfRule>
  </conditionalFormatting>
  <conditionalFormatting sqref="O21:O500">
    <cfRule type="cellIs" dxfId="0" priority="6" operator="greaterThan">
      <formula>0</formula>
    </cfRule>
  </conditionalFormatting>
  <dataValidations count="1">
    <dataValidation type="list" allowBlank="1" sqref="P5:P500" xr:uid="{00000000-0002-0000-0200-000000000000}">
      <formula1>"Pending,Confirmed,Checked-in,Checked-out,Cancelled"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200-000001000000}">
          <x14:formula1>
            <xm:f>#REF!</xm:f>
          </x14:formula1>
          <x14:formula2>
            <xm:f>0</xm:f>
          </x14:formula2>
          <xm:sqref>E5:E500</xm:sqref>
        </x14:dataValidation>
        <x14:dataValidation type="list" allowBlank="1" showInputMessage="1" showErrorMessage="1" xr:uid="{00000000-0002-0000-0200-000002000000}">
          <x14:formula1>
            <xm:f>#REF!</xm:f>
          </x14:formula1>
          <xm:sqref>T5:T500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B1:I45"/>
  <sheetViews>
    <sheetView showGridLines="0" zoomScale="85" zoomScaleNormal="85" workbookViewId="0">
      <pane ySplit="1" topLeftCell="A2" activePane="bottomLeft" state="frozen"/>
      <selection pane="bottomLeft" activeCell="O13" sqref="O13"/>
    </sheetView>
  </sheetViews>
  <sheetFormatPr defaultColWidth="12.59765625" defaultRowHeight="15" x14ac:dyDescent="0.4"/>
  <cols>
    <col min="1" max="1" width="3.86328125" style="47" customWidth="1"/>
    <col min="2" max="2" width="13.265625" style="47" customWidth="1"/>
    <col min="3" max="3" width="34.1328125" style="47" customWidth="1"/>
    <col min="4" max="4" width="46.73046875" style="47" customWidth="1"/>
    <col min="5" max="5" width="15.73046875" style="47" customWidth="1"/>
    <col min="6" max="6" width="16" style="47" customWidth="1"/>
    <col min="7" max="7" width="15.265625" style="47" customWidth="1"/>
    <col min="8" max="8" width="22.265625" style="47" customWidth="1"/>
    <col min="9" max="9" width="3.86328125" style="47" customWidth="1"/>
    <col min="10" max="10" width="4.1328125" style="47" customWidth="1"/>
    <col min="11" max="11" width="3.59765625" style="47" customWidth="1"/>
    <col min="12" max="16384" width="12.59765625" style="47"/>
  </cols>
  <sheetData>
    <row r="1" spans="2:9" ht="42.75" customHeight="1" x14ac:dyDescent="0.85">
      <c r="B1" s="141" t="s">
        <v>57</v>
      </c>
      <c r="C1" s="141"/>
      <c r="D1" s="141"/>
      <c r="E1" s="141"/>
      <c r="F1" s="141"/>
      <c r="G1" s="141"/>
      <c r="H1" s="141"/>
      <c r="I1" s="38"/>
    </row>
    <row r="2" spans="2:9" s="49" customFormat="1" ht="21.95" customHeight="1" x14ac:dyDescent="0.35">
      <c r="B2" s="147" t="s">
        <v>41</v>
      </c>
      <c r="C2" s="148"/>
      <c r="D2" s="145"/>
      <c r="E2" s="145"/>
      <c r="F2" s="145"/>
      <c r="G2" s="145"/>
      <c r="H2" s="146"/>
      <c r="I2" s="48"/>
    </row>
    <row r="3" spans="2:9" s="49" customFormat="1" ht="21.95" customHeight="1" x14ac:dyDescent="0.35">
      <c r="B3" s="142" t="s">
        <v>11</v>
      </c>
      <c r="C3" s="142"/>
      <c r="D3" s="145"/>
      <c r="E3" s="145"/>
      <c r="F3" s="145"/>
      <c r="G3" s="145"/>
      <c r="H3" s="146"/>
      <c r="I3" s="48"/>
    </row>
    <row r="4" spans="2:9" s="49" customFormat="1" ht="21.95" customHeight="1" x14ac:dyDescent="0.35">
      <c r="B4" s="142" t="s">
        <v>12</v>
      </c>
      <c r="C4" s="142"/>
      <c r="D4" s="145"/>
      <c r="E4" s="145"/>
      <c r="F4" s="145"/>
      <c r="G4" s="145"/>
      <c r="H4" s="146"/>
      <c r="I4" s="48"/>
    </row>
    <row r="5" spans="2:9" s="49" customFormat="1" ht="21.95" customHeight="1" x14ac:dyDescent="0.35">
      <c r="B5" s="142" t="s">
        <v>42</v>
      </c>
      <c r="C5" s="142"/>
      <c r="D5" s="145"/>
      <c r="E5" s="145"/>
      <c r="F5" s="145"/>
      <c r="G5" s="145"/>
      <c r="H5" s="146"/>
      <c r="I5" s="48"/>
    </row>
    <row r="6" spans="2:9" ht="38.25" customHeight="1" x14ac:dyDescent="0.55000000000000004">
      <c r="B6" s="144" t="s">
        <v>84</v>
      </c>
      <c r="C6" s="144"/>
      <c r="D6" s="38"/>
      <c r="E6" s="38"/>
      <c r="F6" s="38"/>
      <c r="G6" s="38"/>
      <c r="H6" s="38"/>
      <c r="I6" s="38"/>
    </row>
    <row r="7" spans="2:9" ht="21.95" customHeight="1" x14ac:dyDescent="0.4">
      <c r="B7" s="142" t="s">
        <v>4</v>
      </c>
      <c r="C7" s="142"/>
      <c r="D7" s="63" t="s">
        <v>40</v>
      </c>
      <c r="E7" s="94">
        <f>IFERROR(MATCH($D$7,Reservation!$A$5:$A$500,0),IFERROR(MATCH($D$7,Reservation!$B$5:$B$500,0),""))</f>
        <v>1</v>
      </c>
      <c r="F7" s="90"/>
      <c r="G7" s="90"/>
      <c r="H7" s="91"/>
    </row>
    <row r="8" spans="2:9" ht="21.95" customHeight="1" x14ac:dyDescent="0.4">
      <c r="B8" s="142" t="s">
        <v>19</v>
      </c>
      <c r="C8" s="142"/>
      <c r="D8" s="39" t="str">
        <f>IFERROR(INDEX(Reservation!A$5:A$500,$E$7),"")</f>
        <v>BK-0001</v>
      </c>
      <c r="E8" s="87"/>
      <c r="F8" s="87"/>
      <c r="G8" s="87"/>
      <c r="H8" s="89"/>
      <c r="I8" s="38"/>
    </row>
    <row r="9" spans="2:9" ht="21.95" customHeight="1" x14ac:dyDescent="0.4">
      <c r="B9" s="142" t="s">
        <v>1</v>
      </c>
      <c r="C9" s="142"/>
      <c r="D9" s="39" t="str">
        <f>IFERROR(INDEX(Reservation!E$5:E$500,$E$7)&amp;" - "&amp;IFERROR(INDEX(#REF!,MATCH(INDEX(Reservation!E$5:E$500,$E$7),#REF!,0)),""),"")</f>
        <v xml:space="preserve">OHS-01 - </v>
      </c>
      <c r="E9" s="39"/>
      <c r="F9" s="39"/>
      <c r="G9" s="39"/>
      <c r="H9" s="40"/>
      <c r="I9" s="38"/>
    </row>
    <row r="10" spans="2:9" ht="21.95" customHeight="1" x14ac:dyDescent="0.4">
      <c r="B10" s="142" t="s">
        <v>47</v>
      </c>
      <c r="C10" s="142"/>
      <c r="D10" s="39">
        <f>IFERROR(INDEX(Reservation!F$5:F$500,$E$7),"")</f>
        <v>46102</v>
      </c>
      <c r="E10" s="39"/>
      <c r="F10" s="39"/>
      <c r="G10" s="39"/>
      <c r="H10" s="40"/>
      <c r="I10" s="38"/>
    </row>
    <row r="11" spans="2:9" ht="21.95" customHeight="1" x14ac:dyDescent="0.4">
      <c r="B11" s="142" t="s">
        <v>48</v>
      </c>
      <c r="C11" s="142"/>
      <c r="D11" s="39">
        <f>IFERROR(INDEX(Reservation!G$5:G$500,$E$7),"")</f>
        <v>46103</v>
      </c>
      <c r="E11" s="39"/>
      <c r="F11" s="39"/>
      <c r="G11" s="39"/>
      <c r="H11" s="40"/>
      <c r="I11" s="38"/>
    </row>
    <row r="12" spans="2:9" ht="21.95" customHeight="1" x14ac:dyDescent="0.4">
      <c r="B12" s="142" t="s">
        <v>56</v>
      </c>
      <c r="C12" s="142"/>
      <c r="D12" s="39">
        <f>IFERROR(INDEX(Reservation!H$5:H$500,$E$7),"")</f>
        <v>1</v>
      </c>
      <c r="E12" s="39"/>
      <c r="F12" s="88"/>
      <c r="G12" s="95"/>
      <c r="H12" s="40"/>
      <c r="I12" s="38"/>
    </row>
    <row r="13" spans="2:9" ht="38.25" customHeight="1" x14ac:dyDescent="0.55000000000000004">
      <c r="B13" s="144" t="s">
        <v>43</v>
      </c>
      <c r="C13" s="144"/>
      <c r="D13" s="38"/>
      <c r="E13" s="38"/>
      <c r="F13" s="38"/>
      <c r="G13" s="38"/>
      <c r="H13" s="38"/>
      <c r="I13" s="38"/>
    </row>
    <row r="14" spans="2:9" s="49" customFormat="1" ht="21.95" customHeight="1" x14ac:dyDescent="0.35">
      <c r="B14" s="142" t="s">
        <v>44</v>
      </c>
      <c r="C14" s="142"/>
      <c r="D14" s="92" t="str">
        <f>IFERROR(INDEX(Reservation!B$5:B$500,$E$7),"")</f>
        <v>ខាងម៉ូតូត្រៃ</v>
      </c>
      <c r="E14" s="92"/>
      <c r="F14" s="92"/>
      <c r="G14" s="92"/>
      <c r="H14" s="93"/>
      <c r="I14" s="48"/>
    </row>
    <row r="15" spans="2:9" s="49" customFormat="1" ht="21.95" customHeight="1" x14ac:dyDescent="0.35">
      <c r="B15" s="143" t="s">
        <v>45</v>
      </c>
      <c r="C15" s="143"/>
      <c r="D15" s="145">
        <f>IFERROR(INDEX(Reservation!C$5:C$500,$E$7),"")</f>
        <v>0</v>
      </c>
      <c r="E15" s="145"/>
      <c r="F15" s="145"/>
      <c r="G15" s="145"/>
      <c r="H15" s="146"/>
      <c r="I15" s="48"/>
    </row>
    <row r="16" spans="2:9" s="49" customFormat="1" ht="21.95" customHeight="1" x14ac:dyDescent="0.35">
      <c r="B16" s="143" t="s">
        <v>12</v>
      </c>
      <c r="C16" s="143"/>
      <c r="D16" s="145">
        <f>IFERROR(INDEX(Reservation!D$5:D$500,$E$7),"")</f>
        <v>0</v>
      </c>
      <c r="E16" s="145"/>
      <c r="F16" s="145"/>
      <c r="G16" s="145"/>
      <c r="H16" s="146"/>
      <c r="I16" s="48"/>
    </row>
    <row r="17" spans="2:9" ht="38.25" customHeight="1" x14ac:dyDescent="0.55000000000000004">
      <c r="B17" s="144" t="s">
        <v>46</v>
      </c>
      <c r="C17" s="144"/>
      <c r="D17" s="38"/>
      <c r="E17" s="38"/>
      <c r="F17" s="38"/>
      <c r="G17" s="38"/>
      <c r="H17" s="38"/>
      <c r="I17" s="38"/>
    </row>
    <row r="18" spans="2:9" s="49" customFormat="1" ht="21.95" customHeight="1" x14ac:dyDescent="0.35">
      <c r="B18" s="142" t="s">
        <v>76</v>
      </c>
      <c r="C18" s="142"/>
      <c r="D18" s="145"/>
      <c r="E18" s="145"/>
      <c r="F18" s="145"/>
      <c r="G18" s="145"/>
      <c r="H18" s="146"/>
      <c r="I18" s="48"/>
    </row>
    <row r="19" spans="2:9" ht="21.95" customHeight="1" x14ac:dyDescent="0.4">
      <c r="B19" s="142" t="s">
        <v>75</v>
      </c>
      <c r="C19" s="142"/>
      <c r="D19" s="149">
        <f ca="1">TODAY()</f>
        <v>46228</v>
      </c>
      <c r="E19" s="149"/>
      <c r="F19" s="149"/>
      <c r="G19" s="149"/>
      <c r="H19" s="150"/>
      <c r="I19" s="38"/>
    </row>
    <row r="20" spans="2:9" ht="43.5" customHeight="1" x14ac:dyDescent="0.55000000000000004">
      <c r="B20" s="152" t="s">
        <v>55</v>
      </c>
      <c r="C20" s="152"/>
      <c r="D20" s="152"/>
      <c r="E20" s="152"/>
      <c r="F20" s="152"/>
      <c r="G20" s="152"/>
      <c r="H20" s="152"/>
      <c r="I20" s="38"/>
    </row>
    <row r="21" spans="2:9" ht="24" customHeight="1" x14ac:dyDescent="0.4">
      <c r="B21" s="42" t="s">
        <v>71</v>
      </c>
      <c r="C21" s="41" t="s">
        <v>77</v>
      </c>
      <c r="D21" s="41" t="s">
        <v>49</v>
      </c>
      <c r="E21" s="42" t="s">
        <v>85</v>
      </c>
      <c r="F21" s="42" t="s">
        <v>122</v>
      </c>
      <c r="G21" s="42" t="s">
        <v>16</v>
      </c>
      <c r="H21" s="42" t="s">
        <v>9</v>
      </c>
      <c r="I21" s="38"/>
    </row>
    <row r="22" spans="2:9" ht="21.95" customHeight="1" x14ac:dyDescent="0.4">
      <c r="B22" s="98" t="str">
        <f>IFERROR(INDEX(Reservation!E$5:E$500,$E$7),"")</f>
        <v>OHS-01</v>
      </c>
      <c r="C22" s="43"/>
      <c r="D22" s="43"/>
      <c r="E22" s="97"/>
      <c r="F22" s="98"/>
      <c r="G22" s="96"/>
      <c r="H22" s="46">
        <f>E22*F22</f>
        <v>0</v>
      </c>
      <c r="I22" s="38"/>
    </row>
    <row r="23" spans="2:9" ht="21.95" customHeight="1" x14ac:dyDescent="0.4">
      <c r="B23" s="98"/>
      <c r="C23" s="43"/>
      <c r="D23" s="43"/>
      <c r="E23" s="43"/>
      <c r="F23" s="43"/>
      <c r="G23" s="43"/>
      <c r="H23" s="46">
        <f t="shared" ref="H23:H28" si="0">E23*F23</f>
        <v>0</v>
      </c>
      <c r="I23" s="38"/>
    </row>
    <row r="24" spans="2:9" ht="21.95" customHeight="1" x14ac:dyDescent="0.4">
      <c r="B24" s="98"/>
      <c r="C24" s="43"/>
      <c r="D24" s="43"/>
      <c r="E24" s="97"/>
      <c r="F24" s="98"/>
      <c r="G24" s="96"/>
      <c r="H24" s="46">
        <f t="shared" si="0"/>
        <v>0</v>
      </c>
      <c r="I24" s="38"/>
    </row>
    <row r="25" spans="2:9" ht="21.95" customHeight="1" x14ac:dyDescent="0.4">
      <c r="B25" s="98"/>
      <c r="C25" s="43"/>
      <c r="D25" s="43"/>
      <c r="E25" s="97"/>
      <c r="F25" s="98"/>
      <c r="G25" s="96"/>
      <c r="H25" s="46">
        <f t="shared" si="0"/>
        <v>0</v>
      </c>
      <c r="I25" s="38"/>
    </row>
    <row r="26" spans="2:9" ht="21.95" customHeight="1" x14ac:dyDescent="0.4">
      <c r="B26" s="98"/>
      <c r="C26" s="43"/>
      <c r="D26" s="43"/>
      <c r="E26" s="97"/>
      <c r="F26" s="98"/>
      <c r="G26" s="96"/>
      <c r="H26" s="46">
        <f t="shared" si="0"/>
        <v>0</v>
      </c>
      <c r="I26" s="38"/>
    </row>
    <row r="27" spans="2:9" ht="21.95" customHeight="1" x14ac:dyDescent="0.4">
      <c r="B27" s="98"/>
      <c r="C27" s="43"/>
      <c r="D27" s="43"/>
      <c r="E27" s="97"/>
      <c r="F27" s="98"/>
      <c r="G27" s="96"/>
      <c r="H27" s="46">
        <f t="shared" si="0"/>
        <v>0</v>
      </c>
      <c r="I27" s="38"/>
    </row>
    <row r="28" spans="2:9" ht="21.95" customHeight="1" x14ac:dyDescent="0.4">
      <c r="B28" s="98"/>
      <c r="C28" s="43"/>
      <c r="D28" s="43"/>
      <c r="E28" s="97"/>
      <c r="F28" s="98"/>
      <c r="G28" s="96"/>
      <c r="H28" s="46">
        <f t="shared" si="0"/>
        <v>0</v>
      </c>
      <c r="I28" s="38"/>
    </row>
    <row r="29" spans="2:9" ht="21.95" customHeight="1" x14ac:dyDescent="0.4">
      <c r="I29" s="38"/>
    </row>
    <row r="30" spans="2:9" ht="21.95" customHeight="1" x14ac:dyDescent="0.55000000000000004">
      <c r="B30" s="152" t="s">
        <v>72</v>
      </c>
      <c r="C30" s="152"/>
      <c r="D30" s="152"/>
      <c r="E30" s="152"/>
      <c r="F30" s="152"/>
      <c r="G30" s="152"/>
      <c r="H30" s="152"/>
      <c r="I30" s="38"/>
    </row>
    <row r="31" spans="2:9" ht="21.95" customHeight="1" x14ac:dyDescent="0.4">
      <c r="B31" s="42" t="s">
        <v>71</v>
      </c>
      <c r="C31" s="41" t="s">
        <v>78</v>
      </c>
      <c r="D31" s="41" t="s">
        <v>49</v>
      </c>
      <c r="E31" s="42" t="s">
        <v>85</v>
      </c>
      <c r="F31" s="42" t="s">
        <v>39</v>
      </c>
      <c r="G31" s="42" t="s">
        <v>16</v>
      </c>
      <c r="H31" s="42" t="s">
        <v>9</v>
      </c>
      <c r="I31" s="38"/>
    </row>
    <row r="32" spans="2:9" ht="21.95" customHeight="1" x14ac:dyDescent="0.4">
      <c r="B32" s="43"/>
      <c r="C32" s="43"/>
      <c r="D32" s="43"/>
      <c r="E32" s="44">
        <v>0</v>
      </c>
      <c r="F32" s="45">
        <v>0</v>
      </c>
      <c r="G32" s="45"/>
      <c r="H32" s="46">
        <f>E32*F32</f>
        <v>0</v>
      </c>
      <c r="I32" s="38"/>
    </row>
    <row r="33" spans="2:9" ht="21.95" customHeight="1" x14ac:dyDescent="0.4">
      <c r="B33" s="43"/>
      <c r="C33" s="43"/>
      <c r="D33" s="43"/>
      <c r="E33" s="44">
        <v>0</v>
      </c>
      <c r="F33" s="45">
        <v>0</v>
      </c>
      <c r="G33" s="45"/>
      <c r="H33" s="46">
        <f>E33*F33</f>
        <v>0</v>
      </c>
      <c r="I33" s="38"/>
    </row>
    <row r="34" spans="2:9" ht="21.95" customHeight="1" x14ac:dyDescent="0.4">
      <c r="B34" s="43"/>
      <c r="C34" s="43"/>
      <c r="D34" s="43"/>
      <c r="E34" s="44">
        <v>0</v>
      </c>
      <c r="F34" s="45">
        <v>0</v>
      </c>
      <c r="G34" s="45"/>
      <c r="H34" s="46">
        <f>E34*F34</f>
        <v>0</v>
      </c>
      <c r="I34" s="38"/>
    </row>
    <row r="35" spans="2:9" ht="21.95" customHeight="1" x14ac:dyDescent="0.4">
      <c r="B35" s="43"/>
      <c r="C35" s="43"/>
      <c r="D35" s="43"/>
      <c r="E35" s="44">
        <v>0</v>
      </c>
      <c r="F35" s="45">
        <v>0</v>
      </c>
      <c r="G35" s="45"/>
      <c r="H35" s="46">
        <f>E35*F35</f>
        <v>0</v>
      </c>
      <c r="I35" s="38"/>
    </row>
    <row r="36" spans="2:9" ht="21.95" customHeight="1" x14ac:dyDescent="0.4">
      <c r="B36" s="50"/>
      <c r="C36" s="50"/>
      <c r="D36" s="50"/>
      <c r="E36" s="51">
        <v>0</v>
      </c>
      <c r="F36" s="52">
        <v>0</v>
      </c>
      <c r="G36" s="52"/>
      <c r="H36" s="46">
        <f>E36*F36</f>
        <v>0</v>
      </c>
      <c r="I36" s="38"/>
    </row>
    <row r="37" spans="2:9" ht="21.95" customHeight="1" x14ac:dyDescent="0.4">
      <c r="B37" s="153" t="s">
        <v>120</v>
      </c>
      <c r="C37" s="153"/>
      <c r="D37" s="153"/>
      <c r="E37" s="153"/>
      <c r="F37" s="153"/>
      <c r="G37" s="153"/>
      <c r="H37" s="53">
        <v>0</v>
      </c>
      <c r="I37" s="38"/>
    </row>
    <row r="38" spans="2:9" ht="21.95" customHeight="1" x14ac:dyDescent="0.4">
      <c r="B38" s="153" t="s">
        <v>93</v>
      </c>
      <c r="C38" s="153"/>
      <c r="D38" s="153"/>
      <c r="E38" s="153"/>
      <c r="F38" s="153"/>
      <c r="G38" s="153"/>
      <c r="H38" s="53">
        <v>0</v>
      </c>
      <c r="I38" s="38"/>
    </row>
    <row r="39" spans="2:9" ht="21.95" customHeight="1" x14ac:dyDescent="0.4">
      <c r="B39" s="153" t="s">
        <v>121</v>
      </c>
      <c r="C39" s="153"/>
      <c r="D39" s="153"/>
      <c r="E39" s="153"/>
      <c r="F39" s="153"/>
      <c r="G39" s="153"/>
      <c r="H39" s="53">
        <v>0</v>
      </c>
      <c r="I39" s="38"/>
    </row>
    <row r="40" spans="2:9" ht="21.95" customHeight="1" x14ac:dyDescent="0.4">
      <c r="B40" s="154" t="s">
        <v>9</v>
      </c>
      <c r="C40" s="154"/>
      <c r="D40" s="154"/>
      <c r="E40" s="154"/>
      <c r="F40" s="154"/>
      <c r="G40" s="154"/>
      <c r="H40" s="54">
        <f>SUM(H22:H39)</f>
        <v>0</v>
      </c>
      <c r="I40" s="38"/>
    </row>
    <row r="41" spans="2:9" ht="38.25" customHeight="1" x14ac:dyDescent="0.55000000000000004">
      <c r="B41" s="151" t="s">
        <v>50</v>
      </c>
      <c r="C41" s="151"/>
      <c r="D41" s="38"/>
      <c r="E41" s="38"/>
      <c r="F41" s="38"/>
      <c r="G41" s="38"/>
      <c r="H41" s="38"/>
      <c r="I41" s="38"/>
    </row>
    <row r="42" spans="2:9" ht="23.25" customHeight="1" x14ac:dyDescent="0.4">
      <c r="B42" s="142" t="s">
        <v>51</v>
      </c>
      <c r="C42" s="142"/>
      <c r="D42" s="145" t="s">
        <v>52</v>
      </c>
      <c r="E42" s="145"/>
      <c r="F42" s="145"/>
      <c r="G42" s="145"/>
      <c r="H42" s="146"/>
      <c r="I42" s="38"/>
    </row>
    <row r="43" spans="2:9" ht="23.25" customHeight="1" x14ac:dyDescent="0.4">
      <c r="B43" s="142"/>
      <c r="C43" s="142"/>
      <c r="D43" s="145" t="s">
        <v>53</v>
      </c>
      <c r="E43" s="145"/>
      <c r="F43" s="145"/>
      <c r="G43" s="145"/>
      <c r="H43" s="146"/>
      <c r="I43" s="38"/>
    </row>
    <row r="44" spans="2:9" s="49" customFormat="1" ht="23.25" customHeight="1" x14ac:dyDescent="0.35">
      <c r="B44" s="142"/>
      <c r="C44" s="142"/>
      <c r="D44" s="145" t="s">
        <v>54</v>
      </c>
      <c r="E44" s="145"/>
      <c r="F44" s="145"/>
      <c r="G44" s="145"/>
      <c r="H44" s="146"/>
      <c r="I44" s="48"/>
    </row>
    <row r="45" spans="2:9" ht="15" customHeight="1" x14ac:dyDescent="0.4">
      <c r="C45" s="55"/>
      <c r="D45" s="56"/>
      <c r="E45" s="56"/>
    </row>
  </sheetData>
  <mergeCells count="38">
    <mergeCell ref="B17:C17"/>
    <mergeCell ref="B37:G37"/>
    <mergeCell ref="B38:G38"/>
    <mergeCell ref="B39:G39"/>
    <mergeCell ref="B40:G40"/>
    <mergeCell ref="B19:C19"/>
    <mergeCell ref="B11:C11"/>
    <mergeCell ref="D42:H42"/>
    <mergeCell ref="D43:H43"/>
    <mergeCell ref="D5:H5"/>
    <mergeCell ref="D16:H16"/>
    <mergeCell ref="D18:H18"/>
    <mergeCell ref="D19:H19"/>
    <mergeCell ref="B41:C41"/>
    <mergeCell ref="B42:C44"/>
    <mergeCell ref="B20:H20"/>
    <mergeCell ref="B30:H30"/>
    <mergeCell ref="D44:H44"/>
    <mergeCell ref="B18:C18"/>
    <mergeCell ref="B15:C15"/>
    <mergeCell ref="D15:H15"/>
    <mergeCell ref="B12:C12"/>
    <mergeCell ref="B1:H1"/>
    <mergeCell ref="B14:C14"/>
    <mergeCell ref="B16:C16"/>
    <mergeCell ref="B9:C9"/>
    <mergeCell ref="B10:C10"/>
    <mergeCell ref="B4:C4"/>
    <mergeCell ref="B5:C5"/>
    <mergeCell ref="B13:C13"/>
    <mergeCell ref="B6:C6"/>
    <mergeCell ref="B7:C7"/>
    <mergeCell ref="B8:C8"/>
    <mergeCell ref="B3:C3"/>
    <mergeCell ref="D2:H2"/>
    <mergeCell ref="D3:H3"/>
    <mergeCell ref="D4:H4"/>
    <mergeCell ref="B2:C2"/>
  </mergeCells>
  <printOptions horizontalCentered="1"/>
  <pageMargins left="0.25" right="0.25" top="0.25" bottom="0.25" header="0" footer="0"/>
  <pageSetup scale="67" orientation="portrait" horizontalDpi="1200" verticalDpi="1200" r:id="rId1"/>
  <colBreaks count="1" manualBreakCount="1">
    <brk id="9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Reservation!$A$5:$A$330</xm:f>
          </x14:formula1>
          <xm:sqref>D7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Reservation Form</vt:lpstr>
      <vt:lpstr>Reservation</vt:lpstr>
      <vt:lpstr>Receipt</vt:lpstr>
      <vt:lpstr>Receipt!Print_Area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Sambathvichea Thonn</cp:lastModifiedBy>
  <cp:revision>4</cp:revision>
  <cp:lastPrinted>2026-07-23T06:11:08Z</cp:lastPrinted>
  <dcterms:created xsi:type="dcterms:W3CDTF">2026-07-15T08:09:25Z</dcterms:created>
  <dcterms:modified xsi:type="dcterms:W3CDTF">2026-07-25T04:33:01Z</dcterms:modified>
  <dc:language>en-US</dc:language>
</cp:coreProperties>
</file>